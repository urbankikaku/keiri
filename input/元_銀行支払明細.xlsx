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ban\Desktop\"/>
    </mc:Choice>
  </mc:AlternateContent>
  <xr:revisionPtr revIDLastSave="0" documentId="13_ncr:1_{3EFC59E4-8761-413A-B27A-C97B036BC99C}" xr6:coauthVersionLast="47" xr6:coauthVersionMax="47" xr10:uidLastSave="{00000000-0000-0000-0000-000000000000}"/>
  <bookViews>
    <workbookView xWindow="-38520" yWindow="-120" windowWidth="38640" windowHeight="15720" tabRatio="500" activeTab="1" xr2:uid="{00000000-000D-0000-FFFF-FFFF00000000}"/>
  </bookViews>
  <sheets>
    <sheet name="みずほ銀行" sheetId="1" r:id="rId1"/>
    <sheet name="武蔵野銀行" sheetId="2" r:id="rId2"/>
    <sheet name="勘定科目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0" i="3" l="1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B71" i="3" s="1"/>
  <c r="E54" i="3"/>
  <c r="E71" i="3" s="1"/>
  <c r="D54" i="3"/>
  <c r="D71" i="3" s="1"/>
  <c r="C54" i="3"/>
  <c r="C71" i="3" s="1"/>
  <c r="B54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F53" i="2"/>
  <c r="E53" i="2"/>
  <c r="D53" i="2"/>
  <c r="C53" i="2"/>
  <c r="F45" i="2"/>
  <c r="E45" i="2"/>
  <c r="D45" i="2"/>
  <c r="C45" i="2"/>
  <c r="F35" i="2"/>
  <c r="E35" i="2"/>
  <c r="D35" i="2"/>
  <c r="C35" i="2"/>
  <c r="F32" i="2"/>
  <c r="E32" i="2"/>
  <c r="D32" i="2"/>
  <c r="C32" i="2"/>
  <c r="F28" i="2"/>
  <c r="E28" i="2"/>
  <c r="D28" i="2"/>
  <c r="C28" i="2"/>
  <c r="F25" i="2"/>
  <c r="E25" i="2"/>
  <c r="D25" i="2"/>
  <c r="C25" i="2"/>
  <c r="F22" i="2"/>
  <c r="E22" i="2"/>
  <c r="E82" i="2" s="1"/>
  <c r="D22" i="2"/>
  <c r="D82" i="2" s="1"/>
  <c r="C22" i="2"/>
  <c r="F16" i="2"/>
  <c r="E16" i="2"/>
  <c r="D16" i="2"/>
  <c r="C16" i="2"/>
  <c r="F8" i="2"/>
  <c r="E8" i="2"/>
  <c r="D8" i="2"/>
  <c r="C8" i="2"/>
  <c r="F5" i="2"/>
  <c r="F82" i="2" s="1"/>
  <c r="E5" i="2"/>
  <c r="D5" i="2"/>
  <c r="C5" i="2"/>
  <c r="F2" i="2"/>
  <c r="E2" i="2"/>
  <c r="D2" i="2"/>
  <c r="C2" i="2"/>
  <c r="F30" i="1"/>
  <c r="E30" i="1"/>
  <c r="D30" i="1"/>
  <c r="D31" i="1" s="1"/>
  <c r="C30" i="1"/>
  <c r="D27" i="3" l="1"/>
  <c r="C27" i="3"/>
  <c r="B27" i="3"/>
  <c r="B49" i="3"/>
  <c r="E27" i="3"/>
  <c r="C49" i="3"/>
  <c r="D49" i="3"/>
  <c r="E49" i="3"/>
</calcChain>
</file>

<file path=xl/sharedStrings.xml><?xml version="1.0" encoding="utf-8"?>
<sst xmlns="http://schemas.openxmlformats.org/spreadsheetml/2006/main" count="365" uniqueCount="108">
  <si>
    <t>みずほ銀行</t>
  </si>
  <si>
    <t>支払先</t>
  </si>
  <si>
    <t>勘定科目</t>
  </si>
  <si>
    <t>９月末</t>
  </si>
  <si>
    <t>８月末</t>
  </si>
  <si>
    <t>７月末</t>
  </si>
  <si>
    <t>６月末</t>
  </si>
  <si>
    <t>備考</t>
  </si>
  <si>
    <t>媒体</t>
  </si>
  <si>
    <t>佐川急便　越谷</t>
  </si>
  <si>
    <t>通信費</t>
  </si>
  <si>
    <t>みずほ第十集中</t>
  </si>
  <si>
    <t>ダウンロード</t>
  </si>
  <si>
    <t>佐川急便　所沢</t>
  </si>
  <si>
    <t>佐川急便　横浜瀬谷</t>
  </si>
  <si>
    <t>アスクル(プラスロジテクス)</t>
  </si>
  <si>
    <t>消耗品費</t>
  </si>
  <si>
    <t>郵送</t>
  </si>
  <si>
    <t>消耗品費（8%）</t>
  </si>
  <si>
    <t>レオパレス２１</t>
  </si>
  <si>
    <t>賃借料</t>
  </si>
  <si>
    <t>レオパレスガス代</t>
  </si>
  <si>
    <t>水道光熱費</t>
  </si>
  <si>
    <t>メール</t>
  </si>
  <si>
    <t>住友林業アーキテクノ</t>
  </si>
  <si>
    <t>修繕費</t>
  </si>
  <si>
    <t>ガス管破損修繕費用負担　8/5振込</t>
  </si>
  <si>
    <t>丸福企画</t>
  </si>
  <si>
    <t>駐車場</t>
  </si>
  <si>
    <t>なし</t>
  </si>
  <si>
    <t>マサヨ(越谷)</t>
  </si>
  <si>
    <t>ヨシテル(越谷)</t>
  </si>
  <si>
    <t>ヨシテル(三郷)</t>
  </si>
  <si>
    <t>中沢酒造株式会社</t>
  </si>
  <si>
    <t>前払い足柄店駐車場10台</t>
  </si>
  <si>
    <t>豊田駐車場(孝司)</t>
  </si>
  <si>
    <t>山脇土地</t>
  </si>
  <si>
    <t>ヤナセ住販</t>
  </si>
  <si>
    <t>林 横浜駐車場</t>
  </si>
  <si>
    <t>大栄不動産</t>
  </si>
  <si>
    <t>大東建託</t>
  </si>
  <si>
    <t>アパート</t>
  </si>
  <si>
    <t>三郷中央クリニック</t>
  </si>
  <si>
    <t>雑費</t>
  </si>
  <si>
    <t>産業医</t>
  </si>
  <si>
    <t>合計金額</t>
  </si>
  <si>
    <t>ガス管破損負担分を除いた額</t>
  </si>
  <si>
    <t>小松車輛</t>
  </si>
  <si>
    <t>リース料</t>
  </si>
  <si>
    <t>車両リース</t>
  </si>
  <si>
    <t>車両修理</t>
  </si>
  <si>
    <t>梅田自動車</t>
  </si>
  <si>
    <t>車両運搬具</t>
  </si>
  <si>
    <t>ニシネン砿油（セルヴィス）</t>
  </si>
  <si>
    <t>保険料</t>
  </si>
  <si>
    <t>車検</t>
  </si>
  <si>
    <t>租税公課</t>
  </si>
  <si>
    <t>支払手数料</t>
  </si>
  <si>
    <t>車輛燃料費</t>
  </si>
  <si>
    <t>くるま屋　石本</t>
  </si>
  <si>
    <t>平田自動車工業㈱</t>
  </si>
  <si>
    <t>㈱オプティム</t>
  </si>
  <si>
    <r>
      <rPr>
        <sz val="11"/>
        <rFont val="Noto Sans JP"/>
        <family val="3"/>
        <charset val="128"/>
      </rPr>
      <t>GEO</t>
    </r>
    <r>
      <rPr>
        <sz val="11"/>
        <rFont val="Noto Sans CJK SC"/>
        <family val="2"/>
      </rPr>
      <t>スキャンライセンス</t>
    </r>
  </si>
  <si>
    <t>工具、器具及び備品</t>
  </si>
  <si>
    <r>
      <rPr>
        <sz val="11"/>
        <rFont val="Noto Sans JP"/>
        <family val="3"/>
        <charset val="128"/>
      </rPr>
      <t>GEO</t>
    </r>
    <r>
      <rPr>
        <sz val="11"/>
        <rFont val="Noto Sans CJK SC"/>
        <family val="2"/>
      </rPr>
      <t>スキャン本体</t>
    </r>
  </si>
  <si>
    <t>エムエス測器</t>
  </si>
  <si>
    <t>滝本特殊溶接工業</t>
  </si>
  <si>
    <t>地盤機器修理</t>
  </si>
  <si>
    <t>アンナカ</t>
  </si>
  <si>
    <r>
      <rPr>
        <sz val="11"/>
        <color theme="1"/>
        <rFont val="Noto Sans JP"/>
        <family val="3"/>
        <charset val="128"/>
      </rPr>
      <t>info@</t>
    </r>
    <r>
      <rPr>
        <sz val="11"/>
        <color theme="1"/>
        <rFont val="Noto Sans CJK SC"/>
        <family val="2"/>
      </rPr>
      <t>にメール</t>
    </r>
  </si>
  <si>
    <t>測量機器</t>
  </si>
  <si>
    <r>
      <rPr>
        <sz val="11"/>
        <rFont val="Noto Sans JP"/>
        <family val="3"/>
        <charset val="128"/>
      </rPr>
      <t>GE</t>
    </r>
    <r>
      <rPr>
        <sz val="11"/>
        <rFont val="Noto Sans CJK SC"/>
        <family val="2"/>
      </rPr>
      <t>プランニング</t>
    </r>
  </si>
  <si>
    <t>地盤機器</t>
  </si>
  <si>
    <t>日東精工</t>
  </si>
  <si>
    <t>ジオカルテ修理</t>
  </si>
  <si>
    <t>埼玉測器社</t>
  </si>
  <si>
    <t>ワークマン吉川</t>
  </si>
  <si>
    <t>作業着他</t>
  </si>
  <si>
    <t>木下フレンド</t>
  </si>
  <si>
    <t>所沢産廃</t>
  </si>
  <si>
    <t>島村興産</t>
  </si>
  <si>
    <t>三郷産廃</t>
  </si>
  <si>
    <t>エリアフォース</t>
  </si>
  <si>
    <t>広告宣伝費</t>
  </si>
  <si>
    <r>
      <rPr>
        <sz val="11"/>
        <rFont val="Noto Sans JP"/>
        <family val="3"/>
        <charset val="128"/>
      </rPr>
      <t>Indeed Plus</t>
    </r>
    <r>
      <rPr>
        <sz val="11"/>
        <rFont val="Noto Sans CJK SC"/>
        <family val="2"/>
      </rPr>
      <t>掲載</t>
    </r>
  </si>
  <si>
    <t>メールで問い合わせ中</t>
  </si>
  <si>
    <t>明治安田生命保険料</t>
  </si>
  <si>
    <t>福利厚生費</t>
  </si>
  <si>
    <t>保険積立金</t>
  </si>
  <si>
    <t>地盤審査補償事業</t>
  </si>
  <si>
    <t>物件登録料</t>
  </si>
  <si>
    <r>
      <rPr>
        <sz val="11"/>
        <rFont val="Noto Sans CJK SC"/>
        <family val="2"/>
      </rPr>
      <t xml:space="preserve">合同会社 </t>
    </r>
    <r>
      <rPr>
        <sz val="11"/>
        <rFont val="Noto Sans JP"/>
        <family val="3"/>
        <charset val="128"/>
      </rPr>
      <t>U-link</t>
    </r>
  </si>
  <si>
    <t>空調設備</t>
  </si>
  <si>
    <t>アスクル（プラスロジテクス）</t>
  </si>
  <si>
    <r>
      <rPr>
        <sz val="11"/>
        <rFont val="Noto Sans CJK SC"/>
        <family val="2"/>
      </rPr>
      <t>消耗品費（</t>
    </r>
    <r>
      <rPr>
        <sz val="11"/>
        <rFont val="Noto Sans JP"/>
        <family val="3"/>
        <charset val="128"/>
      </rPr>
      <t>8%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</si>
  <si>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豊田駐車場</t>
    </r>
    <r>
      <rPr>
        <sz val="11"/>
        <rFont val="Noto Sans JP"/>
        <family val="3"/>
        <charset val="128"/>
      </rPr>
      <t>(</t>
    </r>
    <r>
      <rPr>
        <sz val="11"/>
        <rFont val="Noto Sans CJK SC"/>
        <family val="2"/>
      </rPr>
      <t>孝司</t>
    </r>
    <r>
      <rPr>
        <sz val="11"/>
        <rFont val="Noto Sans JP"/>
        <family val="3"/>
        <charset val="128"/>
      </rPr>
      <t>)</t>
    </r>
  </si>
  <si>
    <t>勘定科目別 月次支払合計</t>
  </si>
  <si>
    <r>
      <rPr>
        <sz val="9"/>
        <color rgb="FF808080"/>
        <rFont val="Noto Sans CJK SC"/>
        <family val="2"/>
      </rPr>
      <t xml:space="preserve">※ 各セルは </t>
    </r>
    <r>
      <rPr>
        <sz val="9"/>
        <color rgb="FF808080"/>
        <rFont val="Noto Sans JP"/>
        <family val="3"/>
        <charset val="128"/>
      </rPr>
      <t xml:space="preserve">SUMIFS </t>
    </r>
    <r>
      <rPr>
        <sz val="9"/>
        <color rgb="FF808080"/>
        <rFont val="Noto Sans CJK SC"/>
        <family val="2"/>
      </rPr>
      <t>式です。明細シート（みずほ銀行・武蔵野銀行）の</t>
    </r>
    <r>
      <rPr>
        <sz val="9"/>
        <color rgb="FF808080"/>
        <rFont val="Noto Sans JP"/>
        <family val="3"/>
        <charset val="128"/>
      </rPr>
      <t>B</t>
    </r>
    <r>
      <rPr>
        <sz val="9"/>
        <color rgb="FF808080"/>
        <rFont val="Noto Sans CJK SC"/>
        <family val="2"/>
      </rPr>
      <t>列「勘定科目」と金額を書き換えると自動で再計算されます。</t>
    </r>
  </si>
  <si>
    <r>
      <rPr>
        <sz val="9"/>
        <color rgb="FF808080"/>
        <rFont val="Noto Sans CJK SC"/>
        <family val="2"/>
      </rPr>
      <t xml:space="preserve">※ 集計範囲：みずほ銀行 </t>
    </r>
    <r>
      <rPr>
        <sz val="9"/>
        <color rgb="FF808080"/>
        <rFont val="Noto Sans JP"/>
        <family val="3"/>
        <charset val="128"/>
      </rPr>
      <t>4</t>
    </r>
    <r>
      <rPr>
        <sz val="9"/>
        <color rgb="FF808080"/>
        <rFont val="Noto Sans CJK SC"/>
        <family val="2"/>
      </rPr>
      <t>〜</t>
    </r>
    <r>
      <rPr>
        <sz val="9"/>
        <color rgb="FF808080"/>
        <rFont val="Noto Sans JP"/>
        <family val="3"/>
        <charset val="128"/>
      </rPr>
      <t>26</t>
    </r>
    <r>
      <rPr>
        <sz val="9"/>
        <color rgb="FF808080"/>
        <rFont val="Noto Sans CJK SC"/>
        <family val="2"/>
      </rPr>
      <t xml:space="preserve">行／武蔵野銀行 </t>
    </r>
    <r>
      <rPr>
        <sz val="9"/>
        <color rgb="FF808080"/>
        <rFont val="Noto Sans JP"/>
        <family val="3"/>
        <charset val="128"/>
      </rPr>
      <t>3</t>
    </r>
    <r>
      <rPr>
        <sz val="9"/>
        <color rgb="FF808080"/>
        <rFont val="Noto Sans CJK SC"/>
        <family val="2"/>
      </rPr>
      <t>〜</t>
    </r>
    <r>
      <rPr>
        <sz val="9"/>
        <color rgb="FF808080"/>
        <rFont val="Noto Sans JP"/>
        <family val="3"/>
        <charset val="128"/>
      </rPr>
      <t>67</t>
    </r>
    <r>
      <rPr>
        <sz val="9"/>
        <color rgb="FF808080"/>
        <rFont val="Noto Sans CJK SC"/>
        <family val="2"/>
      </rPr>
      <t>行。行を追加する場合はこの範囲内に挿入してください。</t>
    </r>
  </si>
  <si>
    <r>
      <rPr>
        <sz val="9"/>
        <color rgb="FF808080"/>
        <rFont val="Noto Sans CJK SC"/>
        <family val="2"/>
      </rPr>
      <t>※ 武蔵野銀行シートの</t>
    </r>
    <r>
      <rPr>
        <sz val="9"/>
        <color rgb="FF808080"/>
        <rFont val="Noto Sans JP"/>
        <family val="3"/>
        <charset val="128"/>
      </rPr>
      <t>74</t>
    </r>
    <r>
      <rPr>
        <sz val="9"/>
        <color rgb="FF808080"/>
        <rFont val="Noto Sans CJK SC"/>
        <family val="2"/>
      </rPr>
      <t>〜</t>
    </r>
    <r>
      <rPr>
        <sz val="9"/>
        <color rgb="FF808080"/>
        <rFont val="Noto Sans JP"/>
        <family val="3"/>
        <charset val="128"/>
      </rPr>
      <t>80</t>
    </r>
    <r>
      <rPr>
        <sz val="9"/>
        <color rgb="FF808080"/>
        <rFont val="Noto Sans CJK SC"/>
        <family val="2"/>
      </rPr>
      <t>行は</t>
    </r>
    <r>
      <rPr>
        <sz val="9"/>
        <color rgb="FF808080"/>
        <rFont val="Noto Sans JP"/>
        <family val="3"/>
        <charset val="128"/>
      </rPr>
      <t>61</t>
    </r>
    <r>
      <rPr>
        <sz val="9"/>
        <color rgb="FF808080"/>
        <rFont val="Noto Sans CJK SC"/>
        <family val="2"/>
      </rPr>
      <t>〜</t>
    </r>
    <r>
      <rPr>
        <sz val="9"/>
        <color rgb="FF808080"/>
        <rFont val="Noto Sans JP"/>
        <family val="3"/>
        <charset val="128"/>
      </rPr>
      <t>67</t>
    </r>
    <r>
      <rPr>
        <sz val="9"/>
        <color rgb="FF808080"/>
        <rFont val="Noto Sans CJK SC"/>
        <family val="2"/>
      </rPr>
      <t>行と同一内容の重複行のため、二重計上を避けて集計対象から除いています（同シートの</t>
    </r>
    <r>
      <rPr>
        <sz val="9"/>
        <color rgb="FF808080"/>
        <rFont val="Noto Sans JP"/>
        <family val="3"/>
        <charset val="128"/>
      </rPr>
      <t>E82</t>
    </r>
    <r>
      <rPr>
        <sz val="9"/>
        <color rgb="FF808080"/>
        <rFont val="Noto Sans CJK SC"/>
        <family val="2"/>
      </rPr>
      <t>・</t>
    </r>
    <r>
      <rPr>
        <sz val="9"/>
        <color rgb="FF808080"/>
        <rFont val="Noto Sans JP"/>
        <family val="3"/>
        <charset val="128"/>
      </rPr>
      <t>F82</t>
    </r>
    <r>
      <rPr>
        <sz val="9"/>
        <color rgb="FF808080"/>
        <rFont val="Noto Sans CJK SC"/>
        <family val="2"/>
      </rPr>
      <t>の合計式と同じ扱い）。</t>
    </r>
  </si>
  <si>
    <r>
      <rPr>
        <sz val="9"/>
        <color rgb="FF808080"/>
        <rFont val="Noto Sans CJK SC"/>
        <family val="2"/>
      </rPr>
      <t>※ 武蔵野銀行シートの小計行（小松車輛・アスクル等の親行）は</t>
    </r>
    <r>
      <rPr>
        <sz val="9"/>
        <color rgb="FF808080"/>
        <rFont val="Noto Sans JP"/>
        <family val="3"/>
        <charset val="128"/>
      </rPr>
      <t>B</t>
    </r>
    <r>
      <rPr>
        <sz val="9"/>
        <color rgb="FF808080"/>
        <rFont val="Noto Sans CJK SC"/>
        <family val="2"/>
      </rPr>
      <t>列が空欄のため、二重計上されません。</t>
    </r>
  </si>
  <si>
    <r>
      <rPr>
        <sz val="9"/>
        <color rgb="FF808080"/>
        <rFont val="Noto Sans CJK SC"/>
        <family val="2"/>
      </rPr>
      <t>※ みずほ銀行</t>
    </r>
    <r>
      <rPr>
        <sz val="9"/>
        <color rgb="FF808080"/>
        <rFont val="Noto Sans JP"/>
        <family val="3"/>
        <charset val="128"/>
      </rPr>
      <t>11</t>
    </r>
    <r>
      <rPr>
        <sz val="9"/>
        <color rgb="FF808080"/>
        <rFont val="Noto Sans CJK SC"/>
        <family val="2"/>
      </rPr>
      <t xml:space="preserve">行目（住友林業アーキテクノ </t>
    </r>
    <r>
      <rPr>
        <sz val="9"/>
        <color rgb="FF808080"/>
        <rFont val="Noto Sans JP"/>
        <family val="3"/>
        <charset val="128"/>
      </rPr>
      <t>35,310</t>
    </r>
    <r>
      <rPr>
        <sz val="9"/>
        <color rgb="FF808080"/>
        <rFont val="Noto Sans CJK SC"/>
        <family val="2"/>
      </rPr>
      <t>円／ガス管破損負担分）は修繕費に含めています。</t>
    </r>
  </si>
  <si>
    <t>■ 合計（みずほ銀行＋武蔵野銀行）</t>
  </si>
  <si>
    <r>
      <rPr>
        <sz val="11"/>
        <rFont val="Noto Sans CJK SC"/>
        <family val="2"/>
      </rPr>
      <t>消耗品費（</t>
    </r>
    <r>
      <rPr>
        <sz val="11"/>
        <rFont val="Noto Sans JP"/>
        <family val="3"/>
        <charset val="128"/>
      </rPr>
      <t>8%</t>
    </r>
    <r>
      <rPr>
        <sz val="11"/>
        <rFont val="Noto Sans CJK SC"/>
        <family val="2"/>
      </rPr>
      <t>）</t>
    </r>
  </si>
  <si>
    <t>合計</t>
  </si>
  <si>
    <t>■ みずほ銀行</t>
  </si>
  <si>
    <t>■ 武蔵野銀行</t>
  </si>
  <si>
    <t>取引先</t>
    <rPh sb="0" eb="3">
      <t>トリヒキサキ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</si>
</sst>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);[Red]\(#,##0\);\-_)"/>
  </numFmts>
  <fonts count="29">
    <font>
      <sz val="11"/>
      <color theme="1"/>
      <name val="Calibri"/>
      <family val="2"/>
      <charset val="1"/>
    </font>
    <font>
      <sz val="11"/>
      <name val="Noto Sans JP"/>
      <family val="3"/>
      <charset val="128"/>
    </font>
    <font>
      <b/>
      <sz val="11"/>
      <name val="Noto Sans CJK SC"/>
      <family val="2"/>
      <charset val="1"/>
    </font>
    <font>
      <sz val="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Noto Sans CJK SC"/>
      <family val="3"/>
      <charset val="128"/>
    </font>
    <font>
      <sz val="11"/>
      <color rgb="FFFF0000"/>
      <name val="Noto Sans CJK SC"/>
      <family val="2"/>
      <charset val="1"/>
    </font>
    <font>
      <sz val="11"/>
      <color rgb="FFFF0000"/>
      <name val="Noto Sans CJK SC"/>
      <family val="2"/>
    </font>
    <font>
      <sz val="11"/>
      <color rgb="FFFF0000"/>
      <name val="ＭＳ ゴシック"/>
      <family val="3"/>
      <charset val="128"/>
    </font>
    <font>
      <sz val="11"/>
      <color rgb="FFFF0000"/>
      <name val="Noto Sans JP"/>
      <family val="3"/>
      <charset val="128"/>
    </font>
    <font>
      <i/>
      <sz val="11"/>
      <color rgb="FF808080"/>
      <name val="Noto Sans CJK SC"/>
      <family val="2"/>
      <charset val="1"/>
    </font>
    <font>
      <b/>
      <sz val="11"/>
      <name val="Noto Sans JP"/>
      <family val="3"/>
      <charset val="128"/>
    </font>
    <font>
      <sz val="9"/>
      <color rgb="FF808080"/>
      <name val="Noto Sans CJK SC"/>
      <family val="2"/>
      <charset val="1"/>
    </font>
    <font>
      <b/>
      <sz val="11"/>
      <name val="Noto Sans CJK SC"/>
      <family val="2"/>
    </font>
    <font>
      <sz val="11"/>
      <name val="Noto Sans CJK SC"/>
      <family val="2"/>
    </font>
    <font>
      <sz val="11"/>
      <color rgb="FF000000"/>
      <name val="Noto Sans JP"/>
      <family val="3"/>
      <charset val="128"/>
    </font>
    <font>
      <b/>
      <sz val="11"/>
      <color rgb="FF000000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Noto Sans CJK SC"/>
      <family val="2"/>
    </font>
    <font>
      <b/>
      <sz val="14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Noto Sans JP"/>
      <family val="3"/>
      <charset val="128"/>
    </font>
    <font>
      <sz val="11"/>
      <name val="Noto Sans JP"/>
      <family val="3"/>
      <charset val="128"/>
    </font>
    <font>
      <b/>
      <sz val="11"/>
      <name val="Noto Sans JP"/>
      <family val="3"/>
      <charset val="128"/>
    </font>
    <font>
      <sz val="11"/>
      <color theme="1"/>
      <name val="Calibri"/>
      <family val="2"/>
      <charset val="1"/>
    </font>
    <font>
      <sz val="6"/>
      <name val="ＭＳ Ｐゴシック"/>
      <family val="3"/>
      <charset val="128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DD9C3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176" fontId="26" fillId="0" borderId="0">
      <alignment vertical="center"/>
    </xf>
    <xf numFmtId="176" fontId="26" fillId="0" borderId="0">
      <alignment vertical="center"/>
    </xf>
  </cellStyleXfs>
  <cellXfs count="72">
    <xf numFmtId="0" fontId="0" fillId="0" borderId="0" xfId="0"/>
    <xf numFmtId="176" fontId="1" fillId="0" borderId="1" xfId="1" applyFont="1" applyBorder="1" applyAlignment="1">
      <alignment horizontal="right" vertical="center"/>
    </xf>
    <xf numFmtId="0" fontId="1" fillId="0" borderId="0" xfId="0" applyFont="1"/>
    <xf numFmtId="176" fontId="1" fillId="0" borderId="0" xfId="1" applyFont="1" applyAlignme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6" fontId="2" fillId="2" borderId="1" xfId="1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176" fontId="1" fillId="0" borderId="1" xfId="1" applyFont="1" applyBorder="1" applyAlignment="1"/>
    <xf numFmtId="0" fontId="5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3" borderId="1" xfId="0" applyFont="1" applyFill="1" applyBorder="1"/>
    <xf numFmtId="176" fontId="11" fillId="0" borderId="1" xfId="1" applyFont="1" applyBorder="1" applyAlignment="1"/>
    <xf numFmtId="0" fontId="12" fillId="0" borderId="1" xfId="0" applyFont="1" applyBorder="1"/>
    <xf numFmtId="176" fontId="11" fillId="0" borderId="1" xfId="0" applyNumberFormat="1" applyFont="1" applyBorder="1"/>
    <xf numFmtId="176" fontId="1" fillId="3" borderId="1" xfId="1" applyFont="1" applyFill="1" applyBorder="1" applyAlignme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176" fontId="13" fillId="0" borderId="1" xfId="1" applyFont="1" applyBorder="1" applyAlignment="1"/>
    <xf numFmtId="0" fontId="14" fillId="0" borderId="0" xfId="0" applyFont="1"/>
    <xf numFmtId="0" fontId="15" fillId="2" borderId="1" xfId="0" applyFont="1" applyFill="1" applyBorder="1" applyAlignment="1">
      <alignment horizontal="center"/>
    </xf>
    <xf numFmtId="176" fontId="15" fillId="2" borderId="1" xfId="1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right"/>
    </xf>
    <xf numFmtId="176" fontId="13" fillId="4" borderId="1" xfId="1" applyFont="1" applyFill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6" fillId="0" borderId="1" xfId="0" applyFont="1" applyBorder="1"/>
    <xf numFmtId="0" fontId="1" fillId="0" borderId="0" xfId="0" applyFont="1" applyAlignment="1">
      <alignment horizontal="right"/>
    </xf>
    <xf numFmtId="0" fontId="5" fillId="0" borderId="1" xfId="0" applyFont="1" applyBorder="1" applyAlignment="1">
      <alignment horizontal="left" indent="2"/>
    </xf>
    <xf numFmtId="0" fontId="17" fillId="0" borderId="1" xfId="0" applyFont="1" applyBorder="1"/>
    <xf numFmtId="176" fontId="1" fillId="0" borderId="1" xfId="1" applyFont="1" applyBorder="1">
      <alignment vertical="center"/>
    </xf>
    <xf numFmtId="0" fontId="16" fillId="4" borderId="1" xfId="0" applyFont="1" applyFill="1" applyBorder="1"/>
    <xf numFmtId="0" fontId="17" fillId="4" borderId="1" xfId="0" applyFont="1" applyFill="1" applyBorder="1" applyAlignment="1">
      <alignment horizontal="left" indent="2"/>
    </xf>
    <xf numFmtId="0" fontId="18" fillId="4" borderId="1" xfId="0" applyFont="1" applyFill="1" applyBorder="1"/>
    <xf numFmtId="176" fontId="18" fillId="4" borderId="1" xfId="2" applyFont="1" applyFill="1" applyBorder="1" applyAlignment="1"/>
    <xf numFmtId="176" fontId="18" fillId="4" borderId="1" xfId="0" applyNumberFormat="1" applyFont="1" applyFill="1" applyBorder="1"/>
    <xf numFmtId="0" fontId="16" fillId="0" borderId="1" xfId="0" applyFont="1" applyBorder="1" applyAlignment="1">
      <alignment horizontal="left" indent="2"/>
    </xf>
    <xf numFmtId="176" fontId="18" fillId="4" borderId="1" xfId="2" applyFont="1" applyFill="1" applyBorder="1">
      <alignment vertical="center"/>
    </xf>
    <xf numFmtId="176" fontId="13" fillId="4" borderId="1" xfId="2" applyFont="1" applyFill="1" applyBorder="1" applyAlignment="1"/>
    <xf numFmtId="0" fontId="1" fillId="0" borderId="1" xfId="0" applyFont="1" applyBorder="1"/>
    <xf numFmtId="0" fontId="11" fillId="0" borderId="1" xfId="0" applyFont="1" applyBorder="1"/>
    <xf numFmtId="0" fontId="19" fillId="0" borderId="1" xfId="0" applyFont="1" applyBorder="1"/>
    <xf numFmtId="176" fontId="1" fillId="5" borderId="1" xfId="1" applyFont="1" applyFill="1" applyBorder="1" applyAlignment="1"/>
    <xf numFmtId="0" fontId="1" fillId="4" borderId="1" xfId="0" applyFont="1" applyFill="1" applyBorder="1"/>
    <xf numFmtId="0" fontId="5" fillId="4" borderId="1" xfId="0" applyFont="1" applyFill="1" applyBorder="1" applyAlignment="1">
      <alignment horizontal="left" indent="2"/>
    </xf>
    <xf numFmtId="176" fontId="13" fillId="4" borderId="1" xfId="1" applyFont="1" applyFill="1" applyBorder="1" applyAlignment="1"/>
    <xf numFmtId="0" fontId="16" fillId="5" borderId="1" xfId="0" applyFont="1" applyFill="1" applyBorder="1"/>
    <xf numFmtId="0" fontId="16" fillId="4" borderId="1" xfId="0" applyFont="1" applyFill="1" applyBorder="1" applyAlignment="1">
      <alignment horizontal="left" indent="2"/>
    </xf>
    <xf numFmtId="176" fontId="1" fillId="4" borderId="1" xfId="1" applyFont="1" applyFill="1" applyBorder="1" applyAlignment="1"/>
    <xf numFmtId="0" fontId="17" fillId="4" borderId="1" xfId="0" applyFont="1" applyFill="1" applyBorder="1"/>
    <xf numFmtId="176" fontId="1" fillId="3" borderId="1" xfId="1" applyFont="1" applyFill="1" applyBorder="1">
      <alignment vertical="center"/>
    </xf>
    <xf numFmtId="0" fontId="18" fillId="4" borderId="1" xfId="0" applyFont="1" applyFill="1" applyBorder="1" applyAlignment="1">
      <alignment vertical="center"/>
    </xf>
    <xf numFmtId="176" fontId="13" fillId="3" borderId="1" xfId="1" applyFont="1" applyFill="1" applyBorder="1">
      <alignment vertical="center"/>
    </xf>
    <xf numFmtId="176" fontId="11" fillId="3" borderId="1" xfId="1" applyFont="1" applyFill="1" applyBorder="1" applyAlignment="1"/>
    <xf numFmtId="0" fontId="17" fillId="3" borderId="1" xfId="0" applyFont="1" applyFill="1" applyBorder="1"/>
    <xf numFmtId="0" fontId="15" fillId="0" borderId="1" xfId="0" applyFont="1" applyBorder="1"/>
    <xf numFmtId="0" fontId="21" fillId="0" borderId="0" xfId="0" applyFont="1"/>
    <xf numFmtId="0" fontId="22" fillId="0" borderId="0" xfId="0" applyFont="1"/>
    <xf numFmtId="0" fontId="15" fillId="0" borderId="0" xfId="0" applyFont="1"/>
    <xf numFmtId="0" fontId="15" fillId="6" borderId="2" xfId="0" applyFont="1" applyFill="1" applyBorder="1" applyAlignment="1">
      <alignment horizontal="center" vertical="center"/>
    </xf>
    <xf numFmtId="0" fontId="16" fillId="0" borderId="2" xfId="0" applyFont="1" applyBorder="1"/>
    <xf numFmtId="177" fontId="24" fillId="0" borderId="2" xfId="0" applyNumberFormat="1" applyFont="1" applyBorder="1"/>
    <xf numFmtId="0" fontId="15" fillId="7" borderId="2" xfId="0" applyFont="1" applyFill="1" applyBorder="1"/>
    <xf numFmtId="177" fontId="25" fillId="7" borderId="2" xfId="0" applyNumberFormat="1" applyFont="1" applyFill="1" applyBorder="1"/>
    <xf numFmtId="0" fontId="28" fillId="2" borderId="1" xfId="0" applyFont="1" applyFill="1" applyBorder="1" applyAlignment="1">
      <alignment horizontal="center"/>
    </xf>
  </cellXfs>
  <cellStyles count="3">
    <cellStyle name="Excel Built-in Comma [0]" xfId="2" xr:uid="{00000000-0005-0000-0000-000007000000}"/>
    <cellStyle name="Excel Built-in Comma [0] 1" xfId="1" xr:uid="{00000000-0005-0000-0000-000006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>
      <pane ySplit="3" topLeftCell="A4" activePane="bottomLeft" state="frozen"/>
      <selection pane="bottomLeft" activeCell="C3" sqref="C3"/>
    </sheetView>
  </sheetViews>
  <sheetFormatPr defaultColWidth="8.6640625" defaultRowHeight="18"/>
  <cols>
    <col min="1" max="1" width="34" style="2" customWidth="1"/>
    <col min="2" max="2" width="18.88671875" style="2" bestFit="1" customWidth="1"/>
    <col min="3" max="3" width="15.88671875" style="2" customWidth="1"/>
    <col min="4" max="6" width="14" style="3" customWidth="1"/>
    <col min="7" max="7" width="27.21875" style="2" customWidth="1"/>
    <col min="8" max="8" width="15" style="2" customWidth="1"/>
    <col min="9" max="16384" width="8.6640625" style="2"/>
  </cols>
  <sheetData>
    <row r="1" spans="1:8">
      <c r="A1" s="4" t="s">
        <v>0</v>
      </c>
      <c r="B1" s="4"/>
      <c r="C1" s="4"/>
    </row>
    <row r="3" spans="1:8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5" t="s">
        <v>8</v>
      </c>
    </row>
    <row r="4" spans="1:8">
      <c r="A4" s="7" t="s">
        <v>9</v>
      </c>
      <c r="B4" s="8" t="s">
        <v>10</v>
      </c>
      <c r="C4" s="9"/>
      <c r="D4" s="10">
        <v>72056</v>
      </c>
      <c r="E4" s="1">
        <v>82367</v>
      </c>
      <c r="F4" s="1">
        <v>72308</v>
      </c>
      <c r="G4" s="7" t="s">
        <v>11</v>
      </c>
      <c r="H4" s="7" t="s">
        <v>12</v>
      </c>
    </row>
    <row r="5" spans="1:8">
      <c r="A5" s="7" t="s">
        <v>13</v>
      </c>
      <c r="B5" s="8" t="s">
        <v>10</v>
      </c>
      <c r="C5" s="9"/>
      <c r="D5" s="10">
        <v>2178</v>
      </c>
      <c r="E5" s="1"/>
      <c r="F5" s="1"/>
      <c r="G5" s="7"/>
      <c r="H5" s="7" t="s">
        <v>12</v>
      </c>
    </row>
    <row r="6" spans="1:8">
      <c r="A6" s="7" t="s">
        <v>14</v>
      </c>
      <c r="B6" s="8" t="s">
        <v>10</v>
      </c>
      <c r="C6" s="9"/>
      <c r="D6" s="10">
        <v>9974</v>
      </c>
      <c r="E6" s="1"/>
      <c r="F6" s="1"/>
      <c r="G6" s="7"/>
      <c r="H6" s="7" t="s">
        <v>12</v>
      </c>
    </row>
    <row r="7" spans="1:8">
      <c r="A7" s="7" t="s">
        <v>15</v>
      </c>
      <c r="B7" s="11" t="s">
        <v>16</v>
      </c>
      <c r="C7" s="12"/>
      <c r="D7" s="10">
        <v>160084</v>
      </c>
      <c r="E7" s="10">
        <v>102568</v>
      </c>
      <c r="F7" s="10">
        <v>93408</v>
      </c>
      <c r="G7" s="7" t="s">
        <v>0</v>
      </c>
      <c r="H7" s="7" t="s">
        <v>17</v>
      </c>
    </row>
    <row r="8" spans="1:8">
      <c r="A8" s="7"/>
      <c r="B8" s="13" t="s">
        <v>18</v>
      </c>
      <c r="C8" s="14"/>
      <c r="D8" s="10"/>
      <c r="E8" s="10">
        <v>66448</v>
      </c>
      <c r="F8" s="10"/>
      <c r="G8" s="7"/>
      <c r="H8" s="7"/>
    </row>
    <row r="9" spans="1:8">
      <c r="A9" s="7" t="s">
        <v>19</v>
      </c>
      <c r="B9" s="8" t="s">
        <v>20</v>
      </c>
      <c r="C9" s="9"/>
      <c r="D9" s="10">
        <v>228360</v>
      </c>
      <c r="E9" s="10">
        <v>228360</v>
      </c>
      <c r="F9" s="10">
        <v>360195</v>
      </c>
      <c r="G9" s="7"/>
      <c r="H9" s="7" t="s">
        <v>12</v>
      </c>
    </row>
    <row r="10" spans="1:8">
      <c r="A10" s="7" t="s">
        <v>21</v>
      </c>
      <c r="B10" s="8" t="s">
        <v>22</v>
      </c>
      <c r="C10" s="9"/>
      <c r="D10" s="10">
        <v>14720</v>
      </c>
      <c r="E10" s="10">
        <v>18301</v>
      </c>
      <c r="F10" s="10">
        <v>17236</v>
      </c>
      <c r="G10" s="7"/>
      <c r="H10" s="7" t="s">
        <v>23</v>
      </c>
    </row>
    <row r="11" spans="1:8">
      <c r="A11" s="15" t="s">
        <v>24</v>
      </c>
      <c r="B11" s="16" t="s">
        <v>25</v>
      </c>
      <c r="C11" s="17"/>
      <c r="D11" s="18">
        <v>35310</v>
      </c>
      <c r="E11" s="18"/>
      <c r="F11" s="18"/>
      <c r="G11" s="15" t="s">
        <v>26</v>
      </c>
      <c r="H11" s="15" t="s">
        <v>17</v>
      </c>
    </row>
    <row r="12" spans="1:8">
      <c r="A12" s="15"/>
      <c r="B12" s="19"/>
      <c r="C12" s="19"/>
      <c r="D12" s="20"/>
      <c r="E12" s="20"/>
      <c r="F12" s="20"/>
      <c r="G12" s="19"/>
      <c r="H12" s="15"/>
    </row>
    <row r="13" spans="1:8">
      <c r="A13" s="7"/>
      <c r="B13" s="7"/>
      <c r="C13" s="7"/>
      <c r="D13" s="10"/>
      <c r="E13" s="10"/>
      <c r="F13" s="10"/>
      <c r="G13" s="7"/>
      <c r="H13" s="7"/>
    </row>
    <row r="14" spans="1:8">
      <c r="A14" s="7"/>
      <c r="B14" s="7"/>
      <c r="C14" s="7"/>
      <c r="D14" s="10"/>
      <c r="E14" s="10"/>
      <c r="F14" s="10"/>
      <c r="G14" s="7"/>
      <c r="H14" s="7"/>
    </row>
    <row r="15" spans="1:8">
      <c r="A15" s="7" t="s">
        <v>30</v>
      </c>
      <c r="B15" s="8" t="s">
        <v>20</v>
      </c>
      <c r="C15" s="10">
        <v>382500</v>
      </c>
      <c r="D15" s="10">
        <v>382500</v>
      </c>
      <c r="E15" s="10">
        <v>382500</v>
      </c>
      <c r="F15" s="10">
        <v>382500</v>
      </c>
      <c r="G15" s="7" t="s">
        <v>28</v>
      </c>
      <c r="H15" s="7" t="s">
        <v>29</v>
      </c>
    </row>
    <row r="16" spans="1:8">
      <c r="A16" s="7" t="s">
        <v>31</v>
      </c>
      <c r="B16" s="8" t="s">
        <v>20</v>
      </c>
      <c r="C16" s="10">
        <v>350000</v>
      </c>
      <c r="D16" s="10">
        <v>350000</v>
      </c>
      <c r="E16" s="10">
        <v>350000</v>
      </c>
      <c r="F16" s="10">
        <v>350000</v>
      </c>
      <c r="G16" s="7" t="s">
        <v>28</v>
      </c>
      <c r="H16" s="7" t="s">
        <v>29</v>
      </c>
    </row>
    <row r="17" spans="1:8">
      <c r="A17" s="7" t="s">
        <v>32</v>
      </c>
      <c r="B17" s="8" t="s">
        <v>20</v>
      </c>
      <c r="C17" s="10">
        <v>390000</v>
      </c>
      <c r="D17" s="10">
        <v>390000</v>
      </c>
      <c r="E17" s="10">
        <v>390000</v>
      </c>
      <c r="F17" s="10">
        <v>390000</v>
      </c>
      <c r="G17" s="7" t="s">
        <v>28</v>
      </c>
      <c r="H17" s="7" t="s">
        <v>29</v>
      </c>
    </row>
    <row r="18" spans="1:8">
      <c r="A18" s="7" t="s">
        <v>33</v>
      </c>
      <c r="B18" s="8" t="s">
        <v>20</v>
      </c>
      <c r="C18" s="10">
        <v>60000</v>
      </c>
      <c r="D18" s="10">
        <v>60000</v>
      </c>
      <c r="E18" s="10">
        <v>60000</v>
      </c>
      <c r="F18" s="10">
        <v>60000</v>
      </c>
      <c r="G18" s="7" t="s">
        <v>34</v>
      </c>
      <c r="H18" s="7" t="s">
        <v>29</v>
      </c>
    </row>
    <row r="19" spans="1:8">
      <c r="A19" s="7" t="s">
        <v>27</v>
      </c>
      <c r="B19" s="8" t="s">
        <v>20</v>
      </c>
      <c r="C19" s="10">
        <v>170000</v>
      </c>
      <c r="D19" s="10">
        <v>170000</v>
      </c>
      <c r="E19" s="10">
        <v>170000</v>
      </c>
      <c r="F19" s="10">
        <v>170000</v>
      </c>
      <c r="G19" s="7" t="s">
        <v>28</v>
      </c>
      <c r="H19" s="7" t="s">
        <v>29</v>
      </c>
    </row>
    <row r="20" spans="1:8">
      <c r="A20" s="7" t="s">
        <v>35</v>
      </c>
      <c r="B20" s="8" t="s">
        <v>20</v>
      </c>
      <c r="C20" s="10">
        <v>165000</v>
      </c>
      <c r="D20" s="21"/>
      <c r="E20" s="21"/>
      <c r="F20" s="21"/>
      <c r="G20" s="7" t="s">
        <v>28</v>
      </c>
      <c r="H20" s="7" t="s">
        <v>29</v>
      </c>
    </row>
    <row r="21" spans="1:8">
      <c r="A21" s="7" t="s">
        <v>36</v>
      </c>
      <c r="B21" s="8" t="s">
        <v>20</v>
      </c>
      <c r="C21" s="10">
        <v>55000</v>
      </c>
      <c r="D21" s="21"/>
      <c r="E21" s="21"/>
      <c r="F21" s="21"/>
      <c r="G21" s="7" t="s">
        <v>28</v>
      </c>
      <c r="H21" s="7" t="s">
        <v>29</v>
      </c>
    </row>
    <row r="22" spans="1:8">
      <c r="A22" s="7" t="s">
        <v>37</v>
      </c>
      <c r="B22" s="8" t="s">
        <v>20</v>
      </c>
      <c r="C22" s="10">
        <v>35200</v>
      </c>
      <c r="D22" s="21"/>
      <c r="E22" s="21"/>
      <c r="F22" s="21"/>
      <c r="G22" s="7" t="s">
        <v>28</v>
      </c>
      <c r="H22" s="7" t="s">
        <v>29</v>
      </c>
    </row>
    <row r="23" spans="1:8">
      <c r="A23" s="7" t="s">
        <v>39</v>
      </c>
      <c r="B23" s="8" t="s">
        <v>20</v>
      </c>
      <c r="C23" s="10">
        <v>29700</v>
      </c>
      <c r="D23" s="21"/>
      <c r="E23" s="21"/>
      <c r="F23" s="21"/>
      <c r="G23" s="7" t="s">
        <v>28</v>
      </c>
      <c r="H23" s="7" t="s">
        <v>29</v>
      </c>
    </row>
    <row r="24" spans="1:8">
      <c r="A24" s="7" t="s">
        <v>38</v>
      </c>
      <c r="B24" s="8" t="s">
        <v>20</v>
      </c>
      <c r="C24" s="10">
        <v>90000</v>
      </c>
      <c r="D24" s="21"/>
      <c r="E24" s="21"/>
      <c r="F24" s="21"/>
      <c r="G24" s="7" t="s">
        <v>28</v>
      </c>
      <c r="H24" s="7" t="s">
        <v>29</v>
      </c>
    </row>
    <row r="25" spans="1:8">
      <c r="A25" s="7" t="s">
        <v>40</v>
      </c>
      <c r="B25" s="8" t="s">
        <v>20</v>
      </c>
      <c r="C25" s="10">
        <v>67300</v>
      </c>
      <c r="D25" s="21"/>
      <c r="E25" s="21"/>
      <c r="F25" s="21"/>
      <c r="G25" s="7" t="s">
        <v>41</v>
      </c>
      <c r="H25" s="7" t="s">
        <v>29</v>
      </c>
    </row>
    <row r="26" spans="1:8">
      <c r="A26" s="7" t="s">
        <v>42</v>
      </c>
      <c r="B26" s="8" t="s">
        <v>43</v>
      </c>
      <c r="C26" s="10">
        <v>60000</v>
      </c>
      <c r="D26" s="21"/>
      <c r="E26" s="21"/>
      <c r="F26" s="21"/>
      <c r="G26" s="7" t="s">
        <v>44</v>
      </c>
      <c r="H26" s="7" t="s">
        <v>29</v>
      </c>
    </row>
    <row r="27" spans="1:8">
      <c r="A27" s="22"/>
      <c r="B27" s="23"/>
      <c r="C27" s="23"/>
      <c r="G27" s="22"/>
      <c r="H27" s="22"/>
    </row>
    <row r="30" spans="1:8">
      <c r="A30" s="24" t="s">
        <v>45</v>
      </c>
      <c r="B30" s="24"/>
      <c r="C30" s="25">
        <f>SUM(C4:C18)</f>
        <v>1182500</v>
      </c>
      <c r="D30" s="25">
        <f>SUM(D4:D18)</f>
        <v>1705182</v>
      </c>
      <c r="E30" s="25">
        <f>SUM(E4:E18)</f>
        <v>1680544</v>
      </c>
      <c r="F30" s="25">
        <f>SUM(F4:F18)</f>
        <v>1725647</v>
      </c>
    </row>
    <row r="31" spans="1:8">
      <c r="D31" s="3">
        <f>D30-D11</f>
        <v>1669872</v>
      </c>
      <c r="G31" s="26" t="s">
        <v>46</v>
      </c>
    </row>
  </sheetData>
  <mergeCells count="2">
    <mergeCell ref="E4:E6"/>
    <mergeCell ref="F4:F6"/>
  </mergeCells>
  <phoneticPr fontId="27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tabSelected="1" zoomScaleNormal="100" workbookViewId="0">
      <pane ySplit="1" topLeftCell="A2" activePane="bottomLeft" state="frozen"/>
      <selection pane="bottomLeft" activeCell="K16" sqref="K16"/>
    </sheetView>
  </sheetViews>
  <sheetFormatPr defaultColWidth="8.6640625" defaultRowHeight="18"/>
  <cols>
    <col min="1" max="1" width="25.21875" style="2" customWidth="1"/>
    <col min="2" max="2" width="24.44140625" style="2" customWidth="1"/>
    <col min="3" max="3" width="14.6640625" style="2" customWidth="1"/>
    <col min="4" max="6" width="14" style="3" customWidth="1"/>
    <col min="7" max="7" width="26" style="2" customWidth="1"/>
    <col min="8" max="8" width="22.6640625" style="2" customWidth="1"/>
    <col min="9" max="9" width="21.5546875" style="2" customWidth="1"/>
    <col min="10" max="16384" width="8.6640625" style="2"/>
  </cols>
  <sheetData>
    <row r="1" spans="1:8">
      <c r="A1" s="71" t="s">
        <v>107</v>
      </c>
      <c r="B1" s="27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7" t="s">
        <v>7</v>
      </c>
      <c r="H1" s="27" t="s">
        <v>8</v>
      </c>
    </row>
    <row r="2" spans="1:8" s="34" customFormat="1">
      <c r="A2" s="29" t="s">
        <v>47</v>
      </c>
      <c r="B2" s="30"/>
      <c r="C2" s="31">
        <f>C3+C4</f>
        <v>0</v>
      </c>
      <c r="D2" s="31">
        <f>D3+D4</f>
        <v>978694</v>
      </c>
      <c r="E2" s="31">
        <f>E3+E4</f>
        <v>907610</v>
      </c>
      <c r="F2" s="31">
        <f>F3+F4</f>
        <v>849200</v>
      </c>
      <c r="G2" s="32"/>
      <c r="H2" s="33" t="s">
        <v>17</v>
      </c>
    </row>
    <row r="3" spans="1:8">
      <c r="A3" s="33"/>
      <c r="B3" s="35" t="s">
        <v>48</v>
      </c>
      <c r="C3" s="36"/>
      <c r="D3" s="37">
        <v>849200</v>
      </c>
      <c r="E3" s="37">
        <v>849200</v>
      </c>
      <c r="F3" s="37">
        <v>849200</v>
      </c>
      <c r="G3" s="33" t="s">
        <v>49</v>
      </c>
      <c r="H3" s="33"/>
    </row>
    <row r="4" spans="1:8">
      <c r="A4" s="33"/>
      <c r="B4" s="35" t="s">
        <v>25</v>
      </c>
      <c r="C4" s="36"/>
      <c r="D4" s="37">
        <v>129494</v>
      </c>
      <c r="E4" s="37">
        <v>58410</v>
      </c>
      <c r="F4" s="37"/>
      <c r="G4" s="33" t="s">
        <v>50</v>
      </c>
      <c r="H4" s="33"/>
    </row>
    <row r="5" spans="1:8">
      <c r="A5" s="38" t="s">
        <v>51</v>
      </c>
      <c r="B5" s="39"/>
      <c r="C5" s="31">
        <f>C6+C7</f>
        <v>0</v>
      </c>
      <c r="D5" s="31">
        <f>D6+D7</f>
        <v>1649540</v>
      </c>
      <c r="E5" s="31">
        <f>E6+E7</f>
        <v>322350</v>
      </c>
      <c r="F5" s="31">
        <f>F6+F7</f>
        <v>815100</v>
      </c>
      <c r="G5" s="33"/>
      <c r="H5" s="33" t="s">
        <v>17</v>
      </c>
    </row>
    <row r="6" spans="1:8">
      <c r="A6" s="33"/>
      <c r="B6" s="35" t="s">
        <v>25</v>
      </c>
      <c r="C6" s="36"/>
      <c r="D6" s="10">
        <v>1649540</v>
      </c>
      <c r="E6" s="10">
        <v>322350</v>
      </c>
      <c r="F6" s="10">
        <v>815100</v>
      </c>
      <c r="G6" s="33" t="s">
        <v>50</v>
      </c>
      <c r="H6" s="33"/>
    </row>
    <row r="7" spans="1:8">
      <c r="A7" s="33"/>
      <c r="B7" s="35" t="s">
        <v>52</v>
      </c>
      <c r="C7" s="36"/>
      <c r="D7" s="10"/>
      <c r="E7" s="10"/>
      <c r="F7" s="10"/>
      <c r="G7" s="33"/>
      <c r="H7" s="33"/>
    </row>
    <row r="8" spans="1:8">
      <c r="A8" s="38" t="s">
        <v>53</v>
      </c>
      <c r="B8" s="39"/>
      <c r="C8" s="40">
        <f>SUM(C9:C15)</f>
        <v>0</v>
      </c>
      <c r="D8" s="41">
        <f>SUM(D9:D15)</f>
        <v>339900</v>
      </c>
      <c r="E8" s="42">
        <f>SUM(E9:E15)</f>
        <v>341600</v>
      </c>
      <c r="F8" s="42">
        <f>SUM(F9:F15)</f>
        <v>0</v>
      </c>
      <c r="G8" s="33"/>
      <c r="H8" s="33" t="s">
        <v>17</v>
      </c>
    </row>
    <row r="9" spans="1:8">
      <c r="A9" s="33"/>
      <c r="B9" s="35" t="s">
        <v>25</v>
      </c>
      <c r="C9" s="36"/>
      <c r="D9" s="10">
        <v>339900</v>
      </c>
      <c r="E9" s="10">
        <v>170800</v>
      </c>
      <c r="F9" s="10"/>
      <c r="G9" s="33" t="s">
        <v>50</v>
      </c>
      <c r="H9" s="33"/>
    </row>
    <row r="10" spans="1:8">
      <c r="A10" s="33"/>
      <c r="B10" s="35" t="s">
        <v>54</v>
      </c>
      <c r="C10" s="36"/>
      <c r="D10" s="10"/>
      <c r="E10" s="10">
        <v>22400</v>
      </c>
      <c r="F10" s="10"/>
      <c r="G10" s="33" t="s">
        <v>55</v>
      </c>
      <c r="H10" s="33"/>
    </row>
    <row r="11" spans="1:8">
      <c r="A11" s="33"/>
      <c r="B11" s="35" t="s">
        <v>56</v>
      </c>
      <c r="C11" s="36"/>
      <c r="D11" s="10"/>
      <c r="E11" s="33"/>
      <c r="F11" s="10"/>
      <c r="G11" s="33"/>
      <c r="H11" s="33"/>
    </row>
    <row r="12" spans="1:8">
      <c r="A12" s="33"/>
      <c r="B12" s="43" t="s">
        <v>57</v>
      </c>
      <c r="C12" s="33"/>
      <c r="D12" s="10"/>
      <c r="E12" s="10">
        <v>23550</v>
      </c>
      <c r="F12" s="33"/>
      <c r="G12" s="33"/>
      <c r="H12" s="33"/>
    </row>
    <row r="13" spans="1:8">
      <c r="A13" s="33"/>
      <c r="B13" s="43" t="s">
        <v>16</v>
      </c>
      <c r="C13" s="33"/>
      <c r="D13" s="10"/>
      <c r="E13" s="10">
        <v>124850</v>
      </c>
      <c r="F13" s="33"/>
      <c r="G13" s="33"/>
      <c r="H13" s="33"/>
    </row>
    <row r="14" spans="1:8">
      <c r="A14" s="33"/>
      <c r="B14" s="35" t="s">
        <v>52</v>
      </c>
      <c r="C14" s="36"/>
      <c r="D14" s="10"/>
      <c r="E14" s="10"/>
      <c r="F14" s="10"/>
      <c r="G14" s="33"/>
      <c r="H14" s="33"/>
    </row>
    <row r="15" spans="1:8">
      <c r="A15" s="33"/>
      <c r="B15" s="35" t="s">
        <v>58</v>
      </c>
      <c r="C15" s="36"/>
      <c r="D15" s="10"/>
      <c r="E15" s="10"/>
      <c r="F15" s="10"/>
      <c r="G15" s="33"/>
      <c r="H15" s="33"/>
    </row>
    <row r="16" spans="1:8">
      <c r="A16" s="38" t="s">
        <v>59</v>
      </c>
      <c r="B16" s="39"/>
      <c r="C16" s="44">
        <f>SUM(C17:C21)</f>
        <v>0</v>
      </c>
      <c r="D16" s="44">
        <f>SUM(D17:D21)</f>
        <v>90600</v>
      </c>
      <c r="E16" s="44">
        <f>SUM(E17:E21)</f>
        <v>0</v>
      </c>
      <c r="F16" s="44">
        <f>SUM(F17:F21)</f>
        <v>11300</v>
      </c>
      <c r="G16" s="33"/>
      <c r="H16" s="33" t="s">
        <v>17</v>
      </c>
    </row>
    <row r="17" spans="1:8">
      <c r="A17" s="33"/>
      <c r="B17" s="35" t="s">
        <v>25</v>
      </c>
      <c r="C17" s="36"/>
      <c r="D17" s="10">
        <v>56760</v>
      </c>
      <c r="E17" s="10"/>
      <c r="F17" s="10">
        <v>11300</v>
      </c>
      <c r="G17" s="33" t="s">
        <v>50</v>
      </c>
      <c r="H17" s="33"/>
    </row>
    <row r="18" spans="1:8">
      <c r="A18" s="33"/>
      <c r="B18" s="35" t="s">
        <v>54</v>
      </c>
      <c r="C18" s="36"/>
      <c r="D18" s="10">
        <v>17540</v>
      </c>
      <c r="E18" s="10"/>
      <c r="F18" s="10"/>
      <c r="G18" s="33" t="s">
        <v>55</v>
      </c>
      <c r="H18" s="33"/>
    </row>
    <row r="19" spans="1:8">
      <c r="A19" s="33"/>
      <c r="B19" s="43" t="s">
        <v>56</v>
      </c>
      <c r="C19" s="33"/>
      <c r="D19" s="10">
        <v>7500</v>
      </c>
      <c r="E19" s="10"/>
      <c r="F19" s="10"/>
      <c r="G19" s="33"/>
      <c r="H19" s="33"/>
    </row>
    <row r="20" spans="1:8">
      <c r="A20" s="33"/>
      <c r="B20" s="35" t="s">
        <v>57</v>
      </c>
      <c r="C20" s="36"/>
      <c r="D20" s="10">
        <v>8800</v>
      </c>
      <c r="E20" s="10"/>
      <c r="F20" s="10"/>
      <c r="G20" s="33"/>
      <c r="H20" s="33"/>
    </row>
    <row r="21" spans="1:8">
      <c r="A21" s="33"/>
      <c r="B21" s="35" t="s">
        <v>16</v>
      </c>
      <c r="C21" s="36"/>
      <c r="D21" s="10"/>
      <c r="E21" s="10"/>
      <c r="F21" s="10"/>
      <c r="G21" s="33"/>
      <c r="H21" s="33"/>
    </row>
    <row r="22" spans="1:8">
      <c r="A22" s="38" t="s">
        <v>60</v>
      </c>
      <c r="B22" s="39"/>
      <c r="C22" s="44">
        <f>SUM(C23:C24)</f>
        <v>0</v>
      </c>
      <c r="D22" s="44">
        <f>SUM(D23:D24)</f>
        <v>0</v>
      </c>
      <c r="E22" s="44">
        <f>SUM(E23:E24)</f>
        <v>0</v>
      </c>
      <c r="F22" s="44">
        <f>SUM(F23:F24)</f>
        <v>5500</v>
      </c>
      <c r="H22" s="33" t="s">
        <v>17</v>
      </c>
    </row>
    <row r="23" spans="1:8">
      <c r="B23" s="35" t="s">
        <v>25</v>
      </c>
      <c r="C23" s="36"/>
      <c r="D23" s="10"/>
      <c r="E23" s="10"/>
      <c r="F23" s="10">
        <v>5500</v>
      </c>
      <c r="G23" s="33" t="s">
        <v>50</v>
      </c>
      <c r="H23" s="33"/>
    </row>
    <row r="24" spans="1:8">
      <c r="A24" s="33"/>
      <c r="B24" s="35" t="s">
        <v>16</v>
      </c>
      <c r="C24" s="36"/>
      <c r="D24" s="10"/>
      <c r="E24" s="10"/>
      <c r="F24" s="10"/>
      <c r="G24" s="33"/>
      <c r="H24" s="33"/>
    </row>
    <row r="25" spans="1:8">
      <c r="A25" s="38" t="s">
        <v>61</v>
      </c>
      <c r="B25" s="39"/>
      <c r="C25" s="45">
        <f>SUM(C26:C27)</f>
        <v>0</v>
      </c>
      <c r="D25" s="45">
        <f>SUM(D26:D27)</f>
        <v>89100</v>
      </c>
      <c r="E25" s="45">
        <f>SUM(E26:E27)</f>
        <v>89100</v>
      </c>
      <c r="F25" s="45">
        <f>SUM(F26:F27)</f>
        <v>89100</v>
      </c>
      <c r="G25" s="33"/>
      <c r="H25" s="33" t="s">
        <v>17</v>
      </c>
    </row>
    <row r="26" spans="1:8">
      <c r="B26" s="35" t="s">
        <v>43</v>
      </c>
      <c r="C26" s="36"/>
      <c r="D26" s="10">
        <v>89100</v>
      </c>
      <c r="E26" s="10">
        <v>89100</v>
      </c>
      <c r="F26" s="10">
        <v>89100</v>
      </c>
      <c r="G26" s="46" t="s">
        <v>62</v>
      </c>
      <c r="H26" s="46"/>
    </row>
    <row r="27" spans="1:8">
      <c r="A27" s="47"/>
      <c r="B27" s="35" t="s">
        <v>63</v>
      </c>
      <c r="C27" s="36"/>
      <c r="D27" s="10"/>
      <c r="E27" s="10"/>
      <c r="F27" s="10"/>
      <c r="G27" s="46" t="s">
        <v>64</v>
      </c>
      <c r="H27" s="46"/>
    </row>
    <row r="28" spans="1:8">
      <c r="A28" s="38" t="s">
        <v>65</v>
      </c>
      <c r="B28" s="39"/>
      <c r="C28" s="41">
        <f>SUM(C29:C31)</f>
        <v>0</v>
      </c>
      <c r="D28" s="41">
        <f>SUM(D29:D31)</f>
        <v>60500</v>
      </c>
      <c r="E28" s="41">
        <f>SUM(E29:E31)</f>
        <v>0</v>
      </c>
      <c r="F28" s="41">
        <f>SUM(F29:F31)</f>
        <v>0</v>
      </c>
      <c r="G28" s="46"/>
      <c r="H28" s="33" t="s">
        <v>17</v>
      </c>
    </row>
    <row r="29" spans="1:8">
      <c r="B29" s="35" t="s">
        <v>25</v>
      </c>
      <c r="C29" s="36"/>
      <c r="D29" s="10">
        <v>46200</v>
      </c>
      <c r="E29" s="10"/>
      <c r="F29" s="10"/>
      <c r="G29" s="46"/>
    </row>
    <row r="30" spans="1:8">
      <c r="A30" s="46"/>
      <c r="B30" s="35" t="s">
        <v>16</v>
      </c>
      <c r="C30" s="36"/>
      <c r="D30" s="10">
        <v>14300</v>
      </c>
      <c r="E30" s="10"/>
      <c r="F30" s="10"/>
      <c r="G30" s="46"/>
      <c r="H30" s="46"/>
    </row>
    <row r="31" spans="1:8">
      <c r="A31" s="46"/>
      <c r="B31" s="35" t="s">
        <v>63</v>
      </c>
      <c r="C31" s="36"/>
      <c r="D31" s="10"/>
      <c r="E31" s="10"/>
      <c r="F31" s="10"/>
      <c r="G31" s="46"/>
      <c r="H31" s="46"/>
    </row>
    <row r="32" spans="1:8">
      <c r="A32" s="38" t="s">
        <v>66</v>
      </c>
      <c r="B32" s="39"/>
      <c r="C32" s="41">
        <f>SUM(C33:C34)</f>
        <v>0</v>
      </c>
      <c r="D32" s="41">
        <f>SUM(D33:D34)</f>
        <v>0</v>
      </c>
      <c r="E32" s="41">
        <f>SUM(E33:E34)</f>
        <v>8250</v>
      </c>
      <c r="F32" s="41">
        <f>SUM(F33:F34)</f>
        <v>34000</v>
      </c>
      <c r="G32" s="33" t="s">
        <v>67</v>
      </c>
      <c r="H32" s="33" t="s">
        <v>17</v>
      </c>
    </row>
    <row r="33" spans="1:8">
      <c r="B33" s="35" t="s">
        <v>25</v>
      </c>
      <c r="C33" s="36"/>
      <c r="D33" s="10"/>
      <c r="E33" s="46"/>
      <c r="F33" s="10">
        <v>34000</v>
      </c>
      <c r="G33" s="46"/>
      <c r="H33" s="46"/>
    </row>
    <row r="34" spans="1:8">
      <c r="A34" s="46"/>
      <c r="B34" s="35" t="s">
        <v>16</v>
      </c>
      <c r="C34" s="36"/>
      <c r="D34" s="10"/>
      <c r="E34" s="10">
        <v>8250</v>
      </c>
      <c r="F34" s="10"/>
      <c r="G34" s="46"/>
      <c r="H34" s="46"/>
    </row>
    <row r="35" spans="1:8">
      <c r="A35" s="38" t="s">
        <v>68</v>
      </c>
      <c r="B35" s="39"/>
      <c r="C35" s="41">
        <f>SUM(C36:C37)</f>
        <v>0</v>
      </c>
      <c r="D35" s="41">
        <f>SUM(D36:D37)</f>
        <v>461780</v>
      </c>
      <c r="E35" s="41">
        <f>SUM(E36:E37)</f>
        <v>288893</v>
      </c>
      <c r="F35" s="41">
        <f>SUM(F36:F37)</f>
        <v>190410</v>
      </c>
      <c r="G35" s="46"/>
      <c r="H35" s="48" t="s">
        <v>69</v>
      </c>
    </row>
    <row r="36" spans="1:8">
      <c r="B36" s="35" t="s">
        <v>16</v>
      </c>
      <c r="C36" s="36"/>
      <c r="D36" s="49">
        <v>461780</v>
      </c>
      <c r="E36" s="10">
        <v>288893</v>
      </c>
      <c r="F36" s="10">
        <v>190410</v>
      </c>
      <c r="G36" s="46"/>
      <c r="H36" s="46"/>
    </row>
    <row r="37" spans="1:8">
      <c r="A37" s="46"/>
      <c r="B37" s="35" t="s">
        <v>63</v>
      </c>
      <c r="C37" s="36"/>
      <c r="D37" s="49"/>
      <c r="E37" s="10"/>
      <c r="F37" s="10"/>
      <c r="G37" s="33" t="s">
        <v>70</v>
      </c>
      <c r="H37" s="48"/>
    </row>
    <row r="38" spans="1:8">
      <c r="A38" s="50" t="s">
        <v>71</v>
      </c>
      <c r="B38" s="51" t="s">
        <v>16</v>
      </c>
      <c r="C38" s="40"/>
      <c r="D38" s="52"/>
      <c r="E38" s="52">
        <v>550000</v>
      </c>
      <c r="F38" s="52"/>
      <c r="G38" s="33" t="s">
        <v>72</v>
      </c>
      <c r="H38" s="46"/>
    </row>
    <row r="39" spans="1:8">
      <c r="A39" s="38" t="s">
        <v>73</v>
      </c>
      <c r="B39" s="51" t="s">
        <v>25</v>
      </c>
      <c r="C39" s="40"/>
      <c r="D39" s="52">
        <v>485760</v>
      </c>
      <c r="E39" s="52"/>
      <c r="F39" s="52">
        <v>685652</v>
      </c>
      <c r="G39" s="33" t="s">
        <v>74</v>
      </c>
      <c r="H39" s="53" t="s">
        <v>23</v>
      </c>
    </row>
    <row r="40" spans="1:8">
      <c r="A40" s="38" t="s">
        <v>75</v>
      </c>
      <c r="B40" s="51" t="s">
        <v>16</v>
      </c>
      <c r="C40" s="40"/>
      <c r="D40" s="52">
        <v>155881</v>
      </c>
      <c r="E40" s="52">
        <v>103400</v>
      </c>
      <c r="F40" s="52">
        <v>79200</v>
      </c>
      <c r="G40" s="33" t="s">
        <v>70</v>
      </c>
      <c r="H40" s="33" t="s">
        <v>17</v>
      </c>
    </row>
    <row r="41" spans="1:8">
      <c r="A41" s="38" t="s">
        <v>76</v>
      </c>
      <c r="B41" s="51" t="s">
        <v>16</v>
      </c>
      <c r="C41" s="40"/>
      <c r="D41" s="52">
        <v>151756</v>
      </c>
      <c r="E41" s="52">
        <v>123377</v>
      </c>
      <c r="F41" s="52">
        <v>194224</v>
      </c>
      <c r="G41" s="33" t="s">
        <v>77</v>
      </c>
      <c r="H41" s="33" t="s">
        <v>17</v>
      </c>
    </row>
    <row r="42" spans="1:8">
      <c r="A42" s="38" t="s">
        <v>78</v>
      </c>
      <c r="B42" s="51" t="s">
        <v>43</v>
      </c>
      <c r="C42" s="40"/>
      <c r="D42" s="52">
        <v>31020</v>
      </c>
      <c r="E42" s="52">
        <v>31020</v>
      </c>
      <c r="F42" s="52">
        <v>31020</v>
      </c>
      <c r="G42" s="33" t="s">
        <v>79</v>
      </c>
      <c r="H42" s="33" t="s">
        <v>23</v>
      </c>
    </row>
    <row r="43" spans="1:8">
      <c r="A43" s="38" t="s">
        <v>80</v>
      </c>
      <c r="B43" s="51" t="s">
        <v>43</v>
      </c>
      <c r="C43" s="40"/>
      <c r="D43" s="52">
        <v>20167</v>
      </c>
      <c r="E43" s="52">
        <v>23057</v>
      </c>
      <c r="F43" s="52">
        <v>21440</v>
      </c>
      <c r="G43" s="33" t="s">
        <v>81</v>
      </c>
      <c r="H43" s="33" t="s">
        <v>17</v>
      </c>
    </row>
    <row r="44" spans="1:8">
      <c r="A44" s="38" t="s">
        <v>82</v>
      </c>
      <c r="B44" s="54" t="s">
        <v>83</v>
      </c>
      <c r="C44" s="50"/>
      <c r="D44" s="55"/>
      <c r="E44" s="55">
        <v>72458</v>
      </c>
      <c r="F44" s="55"/>
      <c r="G44" s="46" t="s">
        <v>84</v>
      </c>
      <c r="H44" s="38" t="s">
        <v>85</v>
      </c>
    </row>
    <row r="45" spans="1:8">
      <c r="A45" s="38" t="s">
        <v>86</v>
      </c>
      <c r="B45" s="54"/>
      <c r="C45" s="45">
        <f>SUM(C46:C47)</f>
        <v>0</v>
      </c>
      <c r="D45" s="45">
        <f>SUM(D46:D47)</f>
        <v>477592</v>
      </c>
      <c r="E45" s="45">
        <f>SUM(E46:E47)</f>
        <v>1103802</v>
      </c>
      <c r="F45" s="45">
        <f>SUM(F46:F47)</f>
        <v>0</v>
      </c>
      <c r="G45" s="46"/>
      <c r="H45" s="33" t="s">
        <v>17</v>
      </c>
    </row>
    <row r="46" spans="1:8">
      <c r="B46" s="35" t="s">
        <v>87</v>
      </c>
      <c r="C46" s="36"/>
      <c r="D46" s="10"/>
      <c r="E46" s="10"/>
      <c r="F46" s="10"/>
      <c r="G46" s="46"/>
      <c r="H46" s="46"/>
    </row>
    <row r="47" spans="1:8">
      <c r="A47" s="46"/>
      <c r="B47" s="35" t="s">
        <v>88</v>
      </c>
      <c r="C47" s="36"/>
      <c r="D47" s="10">
        <v>477592</v>
      </c>
      <c r="E47" s="10">
        <v>1103802</v>
      </c>
      <c r="F47" s="10"/>
      <c r="G47" s="46"/>
      <c r="H47" s="46"/>
    </row>
    <row r="48" spans="1:8">
      <c r="A48" s="38" t="s">
        <v>89</v>
      </c>
      <c r="B48" s="51" t="s">
        <v>43</v>
      </c>
      <c r="C48" s="40"/>
      <c r="D48" s="52">
        <v>66000</v>
      </c>
      <c r="E48" s="52">
        <v>231000</v>
      </c>
      <c r="F48" s="52">
        <v>33000</v>
      </c>
      <c r="G48" s="33" t="s">
        <v>90</v>
      </c>
      <c r="H48" s="33" t="s">
        <v>17</v>
      </c>
    </row>
    <row r="49" spans="1:8">
      <c r="A49" s="38" t="s">
        <v>91</v>
      </c>
      <c r="B49" s="51" t="s">
        <v>25</v>
      </c>
      <c r="C49" s="40"/>
      <c r="D49" s="52">
        <v>286000</v>
      </c>
      <c r="E49" s="52"/>
      <c r="F49" s="52"/>
      <c r="G49" s="33" t="s">
        <v>92</v>
      </c>
      <c r="H49" s="33" t="s">
        <v>17</v>
      </c>
    </row>
    <row r="50" spans="1:8">
      <c r="A50" s="38" t="s">
        <v>9</v>
      </c>
      <c r="B50" s="54" t="s">
        <v>10</v>
      </c>
      <c r="C50" s="56"/>
      <c r="D50" s="21"/>
      <c r="E50" s="57"/>
      <c r="F50" s="57"/>
      <c r="G50" s="46"/>
      <c r="H50" s="33" t="s">
        <v>12</v>
      </c>
    </row>
    <row r="51" spans="1:8">
      <c r="A51" s="38" t="s">
        <v>13</v>
      </c>
      <c r="B51" s="54" t="s">
        <v>10</v>
      </c>
      <c r="C51" s="56"/>
      <c r="D51" s="21"/>
      <c r="E51" s="57"/>
      <c r="F51" s="57"/>
      <c r="G51" s="46"/>
      <c r="H51" s="33" t="s">
        <v>12</v>
      </c>
    </row>
    <row r="52" spans="1:8">
      <c r="A52" s="38" t="s">
        <v>14</v>
      </c>
      <c r="B52" s="54" t="s">
        <v>10</v>
      </c>
      <c r="C52" s="56"/>
      <c r="D52" s="21"/>
      <c r="E52" s="57"/>
      <c r="F52" s="57"/>
      <c r="G52" s="46"/>
      <c r="H52" s="33" t="s">
        <v>12</v>
      </c>
    </row>
    <row r="53" spans="1:8">
      <c r="A53" s="38" t="s">
        <v>93</v>
      </c>
      <c r="B53" s="54"/>
      <c r="C53" s="58">
        <f>SUM(C54:C55)</f>
        <v>0</v>
      </c>
      <c r="D53" s="59">
        <f>SUM(D54:D55)</f>
        <v>0</v>
      </c>
      <c r="E53" s="59">
        <f>SUM(E54:E55)</f>
        <v>0</v>
      </c>
      <c r="F53" s="59">
        <f>SUM(F54:F55)</f>
        <v>0</v>
      </c>
      <c r="G53" s="46"/>
      <c r="H53" s="33" t="s">
        <v>17</v>
      </c>
    </row>
    <row r="54" spans="1:8">
      <c r="B54" s="43" t="s">
        <v>16</v>
      </c>
      <c r="C54" s="36"/>
      <c r="D54" s="21"/>
      <c r="E54" s="21"/>
      <c r="F54" s="21"/>
      <c r="G54" s="46"/>
      <c r="H54" s="46"/>
    </row>
    <row r="55" spans="1:8">
      <c r="A55" s="46"/>
      <c r="B55" s="43" t="s">
        <v>94</v>
      </c>
      <c r="C55" s="36"/>
      <c r="D55" s="21"/>
      <c r="E55" s="21"/>
      <c r="F55" s="21"/>
      <c r="G55" s="46"/>
      <c r="H55" s="46"/>
    </row>
    <row r="56" spans="1:8">
      <c r="A56" s="38" t="s">
        <v>19</v>
      </c>
      <c r="B56" s="54" t="s">
        <v>20</v>
      </c>
      <c r="C56" s="56"/>
      <c r="D56" s="21"/>
      <c r="E56" s="21"/>
      <c r="F56" s="21"/>
      <c r="G56" s="46"/>
      <c r="H56" s="33" t="s">
        <v>12</v>
      </c>
    </row>
    <row r="57" spans="1:8">
      <c r="A57" s="38" t="s">
        <v>21</v>
      </c>
      <c r="B57" s="54" t="s">
        <v>22</v>
      </c>
      <c r="C57" s="56"/>
      <c r="D57" s="21"/>
      <c r="E57" s="21"/>
      <c r="F57" s="21"/>
      <c r="G57" s="46"/>
      <c r="H57" s="33" t="s">
        <v>23</v>
      </c>
    </row>
    <row r="58" spans="1:8">
      <c r="A58" s="33" t="s">
        <v>24</v>
      </c>
      <c r="B58" s="43" t="s">
        <v>25</v>
      </c>
      <c r="C58" s="47"/>
      <c r="D58" s="60"/>
      <c r="E58" s="60"/>
      <c r="F58" s="60"/>
      <c r="G58" s="47"/>
      <c r="H58" s="16" t="s">
        <v>17</v>
      </c>
    </row>
    <row r="59" spans="1:8" hidden="1">
      <c r="A59" s="46"/>
      <c r="B59" s="46"/>
      <c r="C59" s="46"/>
      <c r="D59" s="10"/>
      <c r="E59" s="10"/>
      <c r="F59" s="10"/>
      <c r="G59" s="46"/>
      <c r="H59" s="46"/>
    </row>
    <row r="60" spans="1:8" hidden="1">
      <c r="A60" s="46"/>
      <c r="B60" s="46"/>
      <c r="C60" s="46"/>
      <c r="D60" s="10"/>
      <c r="E60" s="10"/>
      <c r="F60" s="10"/>
      <c r="G60" s="46"/>
      <c r="H60" s="46"/>
    </row>
    <row r="61" spans="1:8" hidden="1">
      <c r="A61" s="33" t="s">
        <v>95</v>
      </c>
      <c r="B61" s="11" t="s">
        <v>20</v>
      </c>
      <c r="C61" s="61"/>
      <c r="D61" s="10">
        <v>165000</v>
      </c>
      <c r="E61" s="10">
        <v>165000</v>
      </c>
      <c r="F61" s="10">
        <v>165000</v>
      </c>
      <c r="G61" s="33" t="s">
        <v>28</v>
      </c>
      <c r="H61" s="33" t="s">
        <v>29</v>
      </c>
    </row>
    <row r="62" spans="1:8" hidden="1">
      <c r="A62" s="33" t="s">
        <v>36</v>
      </c>
      <c r="B62" s="11" t="s">
        <v>20</v>
      </c>
      <c r="C62" s="61"/>
      <c r="D62" s="10">
        <v>55000</v>
      </c>
      <c r="E62" s="10">
        <v>55000</v>
      </c>
      <c r="F62" s="10">
        <v>55000</v>
      </c>
      <c r="G62" s="33" t="s">
        <v>28</v>
      </c>
      <c r="H62" s="33" t="s">
        <v>29</v>
      </c>
    </row>
    <row r="63" spans="1:8" hidden="1">
      <c r="A63" s="33" t="s">
        <v>37</v>
      </c>
      <c r="B63" s="11" t="s">
        <v>20</v>
      </c>
      <c r="C63" s="61"/>
      <c r="D63" s="10">
        <v>35200</v>
      </c>
      <c r="E63" s="10">
        <v>35200</v>
      </c>
      <c r="F63" s="10">
        <v>35200</v>
      </c>
      <c r="G63" s="33" t="s">
        <v>28</v>
      </c>
      <c r="H63" s="33" t="s">
        <v>29</v>
      </c>
    </row>
    <row r="64" spans="1:8" hidden="1">
      <c r="A64" s="33" t="s">
        <v>38</v>
      </c>
      <c r="B64" s="11" t="s">
        <v>20</v>
      </c>
      <c r="C64" s="61"/>
      <c r="D64" s="10">
        <v>90000</v>
      </c>
      <c r="E64" s="10">
        <v>90000</v>
      </c>
      <c r="F64" s="10">
        <v>90000</v>
      </c>
      <c r="G64" s="33" t="s">
        <v>28</v>
      </c>
      <c r="H64" s="33" t="s">
        <v>29</v>
      </c>
    </row>
    <row r="65" spans="1:8" hidden="1">
      <c r="A65" s="16" t="s">
        <v>39</v>
      </c>
      <c r="B65" s="11" t="s">
        <v>20</v>
      </c>
      <c r="C65" s="61"/>
      <c r="D65" s="10">
        <v>29700</v>
      </c>
      <c r="E65" s="10">
        <v>29700</v>
      </c>
      <c r="F65" s="10">
        <v>29700</v>
      </c>
      <c r="G65" s="33" t="s">
        <v>28</v>
      </c>
      <c r="H65" s="33" t="s">
        <v>29</v>
      </c>
    </row>
    <row r="66" spans="1:8" hidden="1">
      <c r="A66" s="16" t="s">
        <v>40</v>
      </c>
      <c r="B66" s="11" t="s">
        <v>20</v>
      </c>
      <c r="C66" s="61"/>
      <c r="D66" s="10">
        <v>67300</v>
      </c>
      <c r="E66" s="10">
        <v>67300</v>
      </c>
      <c r="F66" s="10">
        <v>67300</v>
      </c>
      <c r="G66" s="33" t="s">
        <v>41</v>
      </c>
      <c r="H66" s="33" t="s">
        <v>29</v>
      </c>
    </row>
    <row r="67" spans="1:8" hidden="1">
      <c r="A67" s="33" t="s">
        <v>42</v>
      </c>
      <c r="B67" s="11" t="s">
        <v>43</v>
      </c>
      <c r="C67" s="61"/>
      <c r="D67" s="10">
        <v>60000</v>
      </c>
      <c r="E67" s="10">
        <v>60000</v>
      </c>
      <c r="F67" s="10">
        <v>60000</v>
      </c>
      <c r="G67" s="33" t="s">
        <v>44</v>
      </c>
      <c r="H67" s="33" t="s">
        <v>29</v>
      </c>
    </row>
    <row r="69" spans="1:8">
      <c r="A69" s="7" t="s">
        <v>27</v>
      </c>
      <c r="B69" s="8" t="s">
        <v>20</v>
      </c>
      <c r="C69" s="21"/>
      <c r="D69" s="21"/>
      <c r="E69" s="21"/>
      <c r="F69" s="21"/>
      <c r="G69" s="7" t="s">
        <v>28</v>
      </c>
      <c r="H69" s="7" t="s">
        <v>29</v>
      </c>
    </row>
    <row r="70" spans="1:8">
      <c r="A70" s="7" t="s">
        <v>30</v>
      </c>
      <c r="B70" s="8" t="s">
        <v>20</v>
      </c>
      <c r="C70" s="21"/>
      <c r="D70" s="21"/>
      <c r="E70" s="21"/>
      <c r="F70" s="21"/>
      <c r="G70" s="7" t="s">
        <v>28</v>
      </c>
      <c r="H70" s="7" t="s">
        <v>29</v>
      </c>
    </row>
    <row r="71" spans="1:8">
      <c r="A71" s="7" t="s">
        <v>31</v>
      </c>
      <c r="B71" s="8" t="s">
        <v>20</v>
      </c>
      <c r="C71" s="21"/>
      <c r="D71" s="21"/>
      <c r="E71" s="21"/>
      <c r="F71" s="21"/>
      <c r="G71" s="7" t="s">
        <v>28</v>
      </c>
      <c r="H71" s="7" t="s">
        <v>29</v>
      </c>
    </row>
    <row r="72" spans="1:8">
      <c r="A72" s="7" t="s">
        <v>32</v>
      </c>
      <c r="B72" s="8" t="s">
        <v>20</v>
      </c>
      <c r="C72" s="21"/>
      <c r="D72" s="21"/>
      <c r="E72" s="21"/>
      <c r="F72" s="21"/>
      <c r="G72" s="7" t="s">
        <v>28</v>
      </c>
      <c r="H72" s="7" t="s">
        <v>29</v>
      </c>
    </row>
    <row r="73" spans="1:8">
      <c r="A73" s="7" t="s">
        <v>33</v>
      </c>
      <c r="B73" s="8" t="s">
        <v>20</v>
      </c>
      <c r="C73" s="21"/>
      <c r="D73" s="21"/>
      <c r="E73" s="21"/>
      <c r="F73" s="21"/>
      <c r="G73" s="7" t="s">
        <v>34</v>
      </c>
      <c r="H73" s="7" t="s">
        <v>29</v>
      </c>
    </row>
    <row r="74" spans="1:8">
      <c r="A74" s="7" t="s">
        <v>35</v>
      </c>
      <c r="B74" s="8" t="s">
        <v>20</v>
      </c>
      <c r="C74" s="21"/>
      <c r="D74" s="10">
        <v>165000</v>
      </c>
      <c r="E74" s="10">
        <v>165000</v>
      </c>
      <c r="F74" s="10">
        <v>165000</v>
      </c>
      <c r="G74" s="7" t="s">
        <v>28</v>
      </c>
      <c r="H74" s="7" t="s">
        <v>29</v>
      </c>
    </row>
    <row r="75" spans="1:8">
      <c r="A75" s="7" t="s">
        <v>36</v>
      </c>
      <c r="B75" s="8" t="s">
        <v>20</v>
      </c>
      <c r="C75" s="21"/>
      <c r="D75" s="10">
        <v>55000</v>
      </c>
      <c r="E75" s="10">
        <v>55000</v>
      </c>
      <c r="F75" s="10">
        <v>55000</v>
      </c>
      <c r="G75" s="7" t="s">
        <v>28</v>
      </c>
      <c r="H75" s="7" t="s">
        <v>29</v>
      </c>
    </row>
    <row r="76" spans="1:8">
      <c r="A76" s="7" t="s">
        <v>37</v>
      </c>
      <c r="B76" s="8" t="s">
        <v>20</v>
      </c>
      <c r="C76" s="21"/>
      <c r="D76" s="10">
        <v>35200</v>
      </c>
      <c r="E76" s="10">
        <v>35200</v>
      </c>
      <c r="F76" s="10">
        <v>35200</v>
      </c>
      <c r="G76" s="7" t="s">
        <v>28</v>
      </c>
      <c r="H76" s="7" t="s">
        <v>29</v>
      </c>
    </row>
    <row r="77" spans="1:8">
      <c r="A77" s="7" t="s">
        <v>38</v>
      </c>
      <c r="B77" s="8" t="s">
        <v>20</v>
      </c>
      <c r="C77" s="21"/>
      <c r="D77" s="10">
        <v>90000</v>
      </c>
      <c r="E77" s="10">
        <v>90000</v>
      </c>
      <c r="F77" s="10">
        <v>90000</v>
      </c>
      <c r="G77" s="7" t="s">
        <v>28</v>
      </c>
      <c r="H77" s="7" t="s">
        <v>29</v>
      </c>
    </row>
    <row r="78" spans="1:8">
      <c r="A78" s="7" t="s">
        <v>39</v>
      </c>
      <c r="B78" s="8" t="s">
        <v>20</v>
      </c>
      <c r="C78" s="21"/>
      <c r="D78" s="10">
        <v>29700</v>
      </c>
      <c r="E78" s="10">
        <v>29700</v>
      </c>
      <c r="F78" s="10">
        <v>29700</v>
      </c>
      <c r="G78" s="7" t="s">
        <v>28</v>
      </c>
      <c r="H78" s="7" t="s">
        <v>29</v>
      </c>
    </row>
    <row r="79" spans="1:8">
      <c r="A79" s="7" t="s">
        <v>40</v>
      </c>
      <c r="B79" s="8" t="s">
        <v>20</v>
      </c>
      <c r="C79" s="21"/>
      <c r="D79" s="10">
        <v>67300</v>
      </c>
      <c r="E79" s="10">
        <v>67300</v>
      </c>
      <c r="F79" s="10">
        <v>67300</v>
      </c>
      <c r="G79" s="7" t="s">
        <v>41</v>
      </c>
      <c r="H79" s="7" t="s">
        <v>29</v>
      </c>
    </row>
    <row r="80" spans="1:8">
      <c r="A80" s="7" t="s">
        <v>42</v>
      </c>
      <c r="B80" s="8" t="s">
        <v>43</v>
      </c>
      <c r="C80" s="21"/>
      <c r="D80" s="10">
        <v>60000</v>
      </c>
      <c r="E80" s="10">
        <v>60000</v>
      </c>
      <c r="F80" s="10">
        <v>60000</v>
      </c>
      <c r="G80" s="7" t="s">
        <v>44</v>
      </c>
      <c r="H80" s="7" t="s">
        <v>29</v>
      </c>
    </row>
    <row r="82" spans="1:6">
      <c r="A82" s="62" t="s">
        <v>45</v>
      </c>
      <c r="B82" s="62"/>
      <c r="C82" s="62"/>
      <c r="D82" s="25">
        <f>SUM(D3:D80)</f>
        <v>9517702</v>
      </c>
      <c r="E82" s="25">
        <f>SUM(E3:E67)</f>
        <v>6852112</v>
      </c>
      <c r="F82" s="25">
        <f>SUM(F3:F67)</f>
        <v>4686756</v>
      </c>
    </row>
  </sheetData>
  <phoneticPr fontId="2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showGridLines="0" zoomScaleNormal="100" workbookViewId="0"/>
  </sheetViews>
  <sheetFormatPr defaultColWidth="8.6640625" defaultRowHeight="14.4"/>
  <cols>
    <col min="1" max="1" width="22" customWidth="1"/>
    <col min="2" max="5" width="14" customWidth="1"/>
  </cols>
  <sheetData>
    <row r="1" spans="1:5" ht="17.399999999999999">
      <c r="A1" s="63" t="s">
        <v>96</v>
      </c>
    </row>
    <row r="2" spans="1:5" ht="15">
      <c r="A2" s="64" t="s">
        <v>97</v>
      </c>
    </row>
    <row r="3" spans="1:5" ht="15">
      <c r="A3" s="64" t="s">
        <v>98</v>
      </c>
    </row>
    <row r="4" spans="1:5" ht="15">
      <c r="A4" s="64" t="s">
        <v>99</v>
      </c>
    </row>
    <row r="5" spans="1:5" ht="15">
      <c r="A5" s="64" t="s">
        <v>100</v>
      </c>
    </row>
    <row r="6" spans="1:5" ht="15">
      <c r="A6" s="64" t="s">
        <v>101</v>
      </c>
    </row>
    <row r="8" spans="1:5">
      <c r="A8" s="65" t="s">
        <v>102</v>
      </c>
    </row>
    <row r="9" spans="1:5">
      <c r="A9" s="66" t="s">
        <v>2</v>
      </c>
      <c r="B9" s="66" t="s">
        <v>3</v>
      </c>
      <c r="C9" s="66" t="s">
        <v>4</v>
      </c>
      <c r="D9" s="66" t="s">
        <v>5</v>
      </c>
      <c r="E9" s="66" t="s">
        <v>6</v>
      </c>
    </row>
    <row r="10" spans="1:5" ht="18">
      <c r="A10" s="67" t="s">
        <v>10</v>
      </c>
      <c r="B10" s="68">
        <f>SUMIFS(みずほ銀行!C$4:C$26,みずほ銀行!$B$4:$B$26,$A10)+SUMIFS(武蔵野銀行!C$3:C$67,武蔵野銀行!$B$3:$B$67,$A10)</f>
        <v>0</v>
      </c>
      <c r="C10" s="68">
        <f>SUMIFS(みずほ銀行!D$4:D$26,みずほ銀行!$B$4:$B$26,$A10)+SUMIFS(武蔵野銀行!D$3:D$67,武蔵野銀行!$B$3:$B$67,$A10)</f>
        <v>84208</v>
      </c>
      <c r="D10" s="68">
        <f>SUMIFS(みずほ銀行!E$4:E$26,みずほ銀行!$B$4:$B$26,$A10)+SUMIFS(武蔵野銀行!E$3:E$67,武蔵野銀行!$B$3:$B$67,$A10)</f>
        <v>82367</v>
      </c>
      <c r="E10" s="68">
        <f>SUMIFS(みずほ銀行!F$4:F$26,みずほ銀行!$B$4:$B$26,$A10)+SUMIFS(武蔵野銀行!F$3:F$67,武蔵野銀行!$B$3:$B$67,$A10)</f>
        <v>72308</v>
      </c>
    </row>
    <row r="11" spans="1:5" ht="18">
      <c r="A11" s="67" t="s">
        <v>22</v>
      </c>
      <c r="B11" s="68">
        <f>SUMIFS(みずほ銀行!C$4:C$26,みずほ銀行!$B$4:$B$26,$A11)+SUMIFS(武蔵野銀行!C$3:C$67,武蔵野銀行!$B$3:$B$67,$A11)</f>
        <v>0</v>
      </c>
      <c r="C11" s="68">
        <f>SUMIFS(みずほ銀行!D$4:D$26,みずほ銀行!$B$4:$B$26,$A11)+SUMIFS(武蔵野銀行!D$3:D$67,武蔵野銀行!$B$3:$B$67,$A11)</f>
        <v>14720</v>
      </c>
      <c r="D11" s="68">
        <f>SUMIFS(みずほ銀行!E$4:E$26,みずほ銀行!$B$4:$B$26,$A11)+SUMIFS(武蔵野銀行!E$3:E$67,武蔵野銀行!$B$3:$B$67,$A11)</f>
        <v>18301</v>
      </c>
      <c r="E11" s="68">
        <f>SUMIFS(みずほ銀行!F$4:F$26,みずほ銀行!$B$4:$B$26,$A11)+SUMIFS(武蔵野銀行!F$3:F$67,武蔵野銀行!$B$3:$B$67,$A11)</f>
        <v>17236</v>
      </c>
    </row>
    <row r="12" spans="1:5" ht="18">
      <c r="A12" s="67" t="s">
        <v>20</v>
      </c>
      <c r="B12" s="68">
        <f>SUMIFS(みずほ銀行!C$4:C$26,みずほ銀行!$B$4:$B$26,$A12)+SUMIFS(武蔵野銀行!C$3:C$67,武蔵野銀行!$B$3:$B$67,$A12)</f>
        <v>1794700</v>
      </c>
      <c r="C12" s="68">
        <f>SUMIFS(みずほ銀行!D$4:D$26,みずほ銀行!$B$4:$B$26,$A12)+SUMIFS(武蔵野銀行!D$3:D$67,武蔵野銀行!$B$3:$B$67,$A12)</f>
        <v>2023060</v>
      </c>
      <c r="D12" s="68">
        <f>SUMIFS(みずほ銀行!E$4:E$26,みずほ銀行!$B$4:$B$26,$A12)+SUMIFS(武蔵野銀行!E$3:E$67,武蔵野銀行!$B$3:$B$67,$A12)</f>
        <v>2023060</v>
      </c>
      <c r="E12" s="68">
        <f>SUMIFS(みずほ銀行!F$4:F$26,みずほ銀行!$B$4:$B$26,$A12)+SUMIFS(武蔵野銀行!F$3:F$67,武蔵野銀行!$B$3:$B$67,$A12)</f>
        <v>2154895</v>
      </c>
    </row>
    <row r="13" spans="1:5" ht="18">
      <c r="A13" s="67" t="s">
        <v>48</v>
      </c>
      <c r="B13" s="68">
        <f>SUMIFS(みずほ銀行!C$4:C$26,みずほ銀行!$B$4:$B$26,$A13)+SUMIFS(武蔵野銀行!C$3:C$67,武蔵野銀行!$B$3:$B$67,$A13)</f>
        <v>0</v>
      </c>
      <c r="C13" s="68">
        <f>SUMIFS(みずほ銀行!D$4:D$26,みずほ銀行!$B$4:$B$26,$A13)+SUMIFS(武蔵野銀行!D$3:D$67,武蔵野銀行!$B$3:$B$67,$A13)</f>
        <v>849200</v>
      </c>
      <c r="D13" s="68">
        <f>SUMIFS(みずほ銀行!E$4:E$26,みずほ銀行!$B$4:$B$26,$A13)+SUMIFS(武蔵野銀行!E$3:E$67,武蔵野銀行!$B$3:$B$67,$A13)</f>
        <v>849200</v>
      </c>
      <c r="E13" s="68">
        <f>SUMIFS(みずほ銀行!F$4:F$26,みずほ銀行!$B$4:$B$26,$A13)+SUMIFS(武蔵野銀行!F$3:F$67,武蔵野銀行!$B$3:$B$67,$A13)</f>
        <v>849200</v>
      </c>
    </row>
    <row r="14" spans="1:5" ht="18">
      <c r="A14" s="67" t="s">
        <v>25</v>
      </c>
      <c r="B14" s="68">
        <f>SUMIFS(みずほ銀行!C$4:C$26,みずほ銀行!$B$4:$B$26,$A14)+SUMIFS(武蔵野銀行!C$3:C$67,武蔵野銀行!$B$3:$B$67,$A14)</f>
        <v>0</v>
      </c>
      <c r="C14" s="68">
        <f>SUMIFS(みずほ銀行!D$4:D$26,みずほ銀行!$B$4:$B$26,$A14)+SUMIFS(武蔵野銀行!D$3:D$67,武蔵野銀行!$B$3:$B$67,$A14)</f>
        <v>3028964</v>
      </c>
      <c r="D14" s="68">
        <f>SUMIFS(みずほ銀行!E$4:E$26,みずほ銀行!$B$4:$B$26,$A14)+SUMIFS(武蔵野銀行!E$3:E$67,武蔵野銀行!$B$3:$B$67,$A14)</f>
        <v>551560</v>
      </c>
      <c r="E14" s="68">
        <f>SUMIFS(みずほ銀行!F$4:F$26,みずほ銀行!$B$4:$B$26,$A14)+SUMIFS(武蔵野銀行!F$3:F$67,武蔵野銀行!$B$3:$B$67,$A14)</f>
        <v>1551552</v>
      </c>
    </row>
    <row r="15" spans="1:5" ht="18">
      <c r="A15" s="67" t="s">
        <v>16</v>
      </c>
      <c r="B15" s="68">
        <f>SUMIFS(みずほ銀行!C$4:C$26,みずほ銀行!$B$4:$B$26,$A15)+SUMIFS(武蔵野銀行!C$3:C$67,武蔵野銀行!$B$3:$B$67,$A15)</f>
        <v>0</v>
      </c>
      <c r="C15" s="68">
        <f>SUMIFS(みずほ銀行!D$4:D$26,みずほ銀行!$B$4:$B$26,$A15)+SUMIFS(武蔵野銀行!D$3:D$67,武蔵野銀行!$B$3:$B$67,$A15)</f>
        <v>943801</v>
      </c>
      <c r="D15" s="68">
        <f>SUMIFS(みずほ銀行!E$4:E$26,みずほ銀行!$B$4:$B$26,$A15)+SUMIFS(武蔵野銀行!E$3:E$67,武蔵野銀行!$B$3:$B$67,$A15)</f>
        <v>1301338</v>
      </c>
      <c r="E15" s="68">
        <f>SUMIFS(みずほ銀行!F$4:F$26,みずほ銀行!$B$4:$B$26,$A15)+SUMIFS(武蔵野銀行!F$3:F$67,武蔵野銀行!$B$3:$B$67,$A15)</f>
        <v>557242</v>
      </c>
    </row>
    <row r="16" spans="1:5" ht="18">
      <c r="A16" s="67" t="s">
        <v>103</v>
      </c>
      <c r="B16" s="68">
        <f>SUMIFS(みずほ銀行!C$4:C$26,みずほ銀行!$B$4:$B$26,$A16)+SUMIFS(武蔵野銀行!C$3:C$67,武蔵野銀行!$B$3:$B$67,$A16)</f>
        <v>0</v>
      </c>
      <c r="C16" s="68">
        <f>SUMIFS(みずほ銀行!D$4:D$26,みずほ銀行!$B$4:$B$26,$A16)+SUMIFS(武蔵野銀行!D$3:D$67,武蔵野銀行!$B$3:$B$67,$A16)</f>
        <v>0</v>
      </c>
      <c r="D16" s="68">
        <f>SUMIFS(みずほ銀行!E$4:E$26,みずほ銀行!$B$4:$B$26,$A16)+SUMIFS(武蔵野銀行!E$3:E$67,武蔵野銀行!$B$3:$B$67,$A16)</f>
        <v>66448</v>
      </c>
      <c r="E16" s="68">
        <f>SUMIFS(みずほ銀行!F$4:F$26,みずほ銀行!$B$4:$B$26,$A16)+SUMIFS(武蔵野銀行!F$3:F$67,武蔵野銀行!$B$3:$B$67,$A16)</f>
        <v>0</v>
      </c>
    </row>
    <row r="17" spans="1:5" ht="18">
      <c r="A17" s="67" t="s">
        <v>58</v>
      </c>
      <c r="B17" s="68">
        <f>SUMIFS(みずほ銀行!C$4:C$26,みずほ銀行!$B$4:$B$26,$A17)+SUMIFS(武蔵野銀行!C$3:C$67,武蔵野銀行!$B$3:$B$67,$A17)</f>
        <v>0</v>
      </c>
      <c r="C17" s="68">
        <f>SUMIFS(みずほ銀行!D$4:D$26,みずほ銀行!$B$4:$B$26,$A17)+SUMIFS(武蔵野銀行!D$3:D$67,武蔵野銀行!$B$3:$B$67,$A17)</f>
        <v>0</v>
      </c>
      <c r="D17" s="68">
        <f>SUMIFS(みずほ銀行!E$4:E$26,みずほ銀行!$B$4:$B$26,$A17)+SUMIFS(武蔵野銀行!E$3:E$67,武蔵野銀行!$B$3:$B$67,$A17)</f>
        <v>0</v>
      </c>
      <c r="E17" s="68">
        <f>SUMIFS(みずほ銀行!F$4:F$26,みずほ銀行!$B$4:$B$26,$A17)+SUMIFS(武蔵野銀行!F$3:F$67,武蔵野銀行!$B$3:$B$67,$A17)</f>
        <v>0</v>
      </c>
    </row>
    <row r="18" spans="1:5" ht="18">
      <c r="A18" s="67" t="s">
        <v>57</v>
      </c>
      <c r="B18" s="68">
        <f>SUMIFS(みずほ銀行!C$4:C$26,みずほ銀行!$B$4:$B$26,$A18)+SUMIFS(武蔵野銀行!C$3:C$67,武蔵野銀行!$B$3:$B$67,$A18)</f>
        <v>0</v>
      </c>
      <c r="C18" s="68">
        <f>SUMIFS(みずほ銀行!D$4:D$26,みずほ銀行!$B$4:$B$26,$A18)+SUMIFS(武蔵野銀行!D$3:D$67,武蔵野銀行!$B$3:$B$67,$A18)</f>
        <v>8800</v>
      </c>
      <c r="D18" s="68">
        <f>SUMIFS(みずほ銀行!E$4:E$26,みずほ銀行!$B$4:$B$26,$A18)+SUMIFS(武蔵野銀行!E$3:E$67,武蔵野銀行!$B$3:$B$67,$A18)</f>
        <v>23550</v>
      </c>
      <c r="E18" s="68">
        <f>SUMIFS(みずほ銀行!F$4:F$26,みずほ銀行!$B$4:$B$26,$A18)+SUMIFS(武蔵野銀行!F$3:F$67,武蔵野銀行!$B$3:$B$67,$A18)</f>
        <v>0</v>
      </c>
    </row>
    <row r="19" spans="1:5" ht="18">
      <c r="A19" s="67" t="s">
        <v>56</v>
      </c>
      <c r="B19" s="68">
        <f>SUMIFS(みずほ銀行!C$4:C$26,みずほ銀行!$B$4:$B$26,$A19)+SUMIFS(武蔵野銀行!C$3:C$67,武蔵野銀行!$B$3:$B$67,$A19)</f>
        <v>0</v>
      </c>
      <c r="C19" s="68">
        <f>SUMIFS(みずほ銀行!D$4:D$26,みずほ銀行!$B$4:$B$26,$A19)+SUMIFS(武蔵野銀行!D$3:D$67,武蔵野銀行!$B$3:$B$67,$A19)</f>
        <v>7500</v>
      </c>
      <c r="D19" s="68">
        <f>SUMIFS(みずほ銀行!E$4:E$26,みずほ銀行!$B$4:$B$26,$A19)+SUMIFS(武蔵野銀行!E$3:E$67,武蔵野銀行!$B$3:$B$67,$A19)</f>
        <v>0</v>
      </c>
      <c r="E19" s="68">
        <f>SUMIFS(みずほ銀行!F$4:F$26,みずほ銀行!$B$4:$B$26,$A19)+SUMIFS(武蔵野銀行!F$3:F$67,武蔵野銀行!$B$3:$B$67,$A19)</f>
        <v>0</v>
      </c>
    </row>
    <row r="20" spans="1:5" ht="18">
      <c r="A20" s="67" t="s">
        <v>54</v>
      </c>
      <c r="B20" s="68">
        <f>SUMIFS(みずほ銀行!C$4:C$26,みずほ銀行!$B$4:$B$26,$A20)+SUMIFS(武蔵野銀行!C$3:C$67,武蔵野銀行!$B$3:$B$67,$A20)</f>
        <v>0</v>
      </c>
      <c r="C20" s="68">
        <f>SUMIFS(みずほ銀行!D$4:D$26,みずほ銀行!$B$4:$B$26,$A20)+SUMIFS(武蔵野銀行!D$3:D$67,武蔵野銀行!$B$3:$B$67,$A20)</f>
        <v>17540</v>
      </c>
      <c r="D20" s="68">
        <f>SUMIFS(みずほ銀行!E$4:E$26,みずほ銀行!$B$4:$B$26,$A20)+SUMIFS(武蔵野銀行!E$3:E$67,武蔵野銀行!$B$3:$B$67,$A20)</f>
        <v>22400</v>
      </c>
      <c r="E20" s="68">
        <f>SUMIFS(みずほ銀行!F$4:F$26,みずほ銀行!$B$4:$B$26,$A20)+SUMIFS(武蔵野銀行!F$3:F$67,武蔵野銀行!$B$3:$B$67,$A20)</f>
        <v>0</v>
      </c>
    </row>
    <row r="21" spans="1:5" ht="18">
      <c r="A21" s="67" t="s">
        <v>87</v>
      </c>
      <c r="B21" s="68">
        <f>SUMIFS(みずほ銀行!C$4:C$26,みずほ銀行!$B$4:$B$26,$A21)+SUMIFS(武蔵野銀行!C$3:C$67,武蔵野銀行!$B$3:$B$67,$A21)</f>
        <v>0</v>
      </c>
      <c r="C21" s="68">
        <f>SUMIFS(みずほ銀行!D$4:D$26,みずほ銀行!$B$4:$B$26,$A21)+SUMIFS(武蔵野銀行!D$3:D$67,武蔵野銀行!$B$3:$B$67,$A21)</f>
        <v>0</v>
      </c>
      <c r="D21" s="68">
        <f>SUMIFS(みずほ銀行!E$4:E$26,みずほ銀行!$B$4:$B$26,$A21)+SUMIFS(武蔵野銀行!E$3:E$67,武蔵野銀行!$B$3:$B$67,$A21)</f>
        <v>0</v>
      </c>
      <c r="E21" s="68">
        <f>SUMIFS(みずほ銀行!F$4:F$26,みずほ銀行!$B$4:$B$26,$A21)+SUMIFS(武蔵野銀行!F$3:F$67,武蔵野銀行!$B$3:$B$67,$A21)</f>
        <v>0</v>
      </c>
    </row>
    <row r="22" spans="1:5" ht="18">
      <c r="A22" s="67" t="s">
        <v>83</v>
      </c>
      <c r="B22" s="68">
        <f>SUMIFS(みずほ銀行!C$4:C$26,みずほ銀行!$B$4:$B$26,$A22)+SUMIFS(武蔵野銀行!C$3:C$67,武蔵野銀行!$B$3:$B$67,$A22)</f>
        <v>0</v>
      </c>
      <c r="C22" s="68">
        <f>SUMIFS(みずほ銀行!D$4:D$26,みずほ銀行!$B$4:$B$26,$A22)+SUMIFS(武蔵野銀行!D$3:D$67,武蔵野銀行!$B$3:$B$67,$A22)</f>
        <v>0</v>
      </c>
      <c r="D22" s="68">
        <f>SUMIFS(みずほ銀行!E$4:E$26,みずほ銀行!$B$4:$B$26,$A22)+SUMIFS(武蔵野銀行!E$3:E$67,武蔵野銀行!$B$3:$B$67,$A22)</f>
        <v>72458</v>
      </c>
      <c r="E22" s="68">
        <f>SUMIFS(みずほ銀行!F$4:F$26,みずほ銀行!$B$4:$B$26,$A22)+SUMIFS(武蔵野銀行!F$3:F$67,武蔵野銀行!$B$3:$B$67,$A22)</f>
        <v>0</v>
      </c>
    </row>
    <row r="23" spans="1:5" ht="18">
      <c r="A23" s="67" t="s">
        <v>43</v>
      </c>
      <c r="B23" s="68">
        <f>SUMIFS(みずほ銀行!C$4:C$26,みずほ銀行!$B$4:$B$26,$A23)+SUMIFS(武蔵野銀行!C$3:C$67,武蔵野銀行!$B$3:$B$67,$A23)</f>
        <v>60000</v>
      </c>
      <c r="C23" s="68">
        <f>SUMIFS(みずほ銀行!D$4:D$26,みずほ銀行!$B$4:$B$26,$A23)+SUMIFS(武蔵野銀行!D$3:D$67,武蔵野銀行!$B$3:$B$67,$A23)</f>
        <v>266287</v>
      </c>
      <c r="D23" s="68">
        <f>SUMIFS(みずほ銀行!E$4:E$26,みずほ銀行!$B$4:$B$26,$A23)+SUMIFS(武蔵野銀行!E$3:E$67,武蔵野銀行!$B$3:$B$67,$A23)</f>
        <v>434177</v>
      </c>
      <c r="E23" s="68">
        <f>SUMIFS(みずほ銀行!F$4:F$26,みずほ銀行!$B$4:$B$26,$A23)+SUMIFS(武蔵野銀行!F$3:F$67,武蔵野銀行!$B$3:$B$67,$A23)</f>
        <v>234560</v>
      </c>
    </row>
    <row r="24" spans="1:5" ht="18">
      <c r="A24" s="67" t="s">
        <v>88</v>
      </c>
      <c r="B24" s="68">
        <f>SUMIFS(みずほ銀行!C$4:C$26,みずほ銀行!$B$4:$B$26,$A24)+SUMIFS(武蔵野銀行!C$3:C$67,武蔵野銀行!$B$3:$B$67,$A24)</f>
        <v>0</v>
      </c>
      <c r="C24" s="68">
        <f>SUMIFS(みずほ銀行!D$4:D$26,みずほ銀行!$B$4:$B$26,$A24)+SUMIFS(武蔵野銀行!D$3:D$67,武蔵野銀行!$B$3:$B$67,$A24)</f>
        <v>477592</v>
      </c>
      <c r="D24" s="68">
        <f>SUMIFS(みずほ銀行!E$4:E$26,みずほ銀行!$B$4:$B$26,$A24)+SUMIFS(武蔵野銀行!E$3:E$67,武蔵野銀行!$B$3:$B$67,$A24)</f>
        <v>1103802</v>
      </c>
      <c r="E24" s="68">
        <f>SUMIFS(みずほ銀行!F$4:F$26,みずほ銀行!$B$4:$B$26,$A24)+SUMIFS(武蔵野銀行!F$3:F$67,武蔵野銀行!$B$3:$B$67,$A24)</f>
        <v>0</v>
      </c>
    </row>
    <row r="25" spans="1:5" ht="18">
      <c r="A25" s="67" t="s">
        <v>63</v>
      </c>
      <c r="B25" s="68">
        <f>SUMIFS(みずほ銀行!C$4:C$26,みずほ銀行!$B$4:$B$26,$A25)+SUMIFS(武蔵野銀行!C$3:C$67,武蔵野銀行!$B$3:$B$67,$A25)</f>
        <v>0</v>
      </c>
      <c r="C25" s="68">
        <f>SUMIFS(みずほ銀行!D$4:D$26,みずほ銀行!$B$4:$B$26,$A25)+SUMIFS(武蔵野銀行!D$3:D$67,武蔵野銀行!$B$3:$B$67,$A25)</f>
        <v>0</v>
      </c>
      <c r="D25" s="68">
        <f>SUMIFS(みずほ銀行!E$4:E$26,みずほ銀行!$B$4:$B$26,$A25)+SUMIFS(武蔵野銀行!E$3:E$67,武蔵野銀行!$B$3:$B$67,$A25)</f>
        <v>0</v>
      </c>
      <c r="E25" s="68">
        <f>SUMIFS(みずほ銀行!F$4:F$26,みずほ銀行!$B$4:$B$26,$A25)+SUMIFS(武蔵野銀行!F$3:F$67,武蔵野銀行!$B$3:$B$67,$A25)</f>
        <v>0</v>
      </c>
    </row>
    <row r="26" spans="1:5" ht="18">
      <c r="A26" s="67" t="s">
        <v>52</v>
      </c>
      <c r="B26" s="68">
        <f>SUMIFS(みずほ銀行!C$4:C$26,みずほ銀行!$B$4:$B$26,$A26)+SUMIFS(武蔵野銀行!C$3:C$67,武蔵野銀行!$B$3:$B$67,$A26)</f>
        <v>0</v>
      </c>
      <c r="C26" s="68">
        <f>SUMIFS(みずほ銀行!D$4:D$26,みずほ銀行!$B$4:$B$26,$A26)+SUMIFS(武蔵野銀行!D$3:D$67,武蔵野銀行!$B$3:$B$67,$A26)</f>
        <v>0</v>
      </c>
      <c r="D26" s="68">
        <f>SUMIFS(みずほ銀行!E$4:E$26,みずほ銀行!$B$4:$B$26,$A26)+SUMIFS(武蔵野銀行!E$3:E$67,武蔵野銀行!$B$3:$B$67,$A26)</f>
        <v>0</v>
      </c>
      <c r="E26" s="68">
        <f>SUMIFS(みずほ銀行!F$4:F$26,みずほ銀行!$B$4:$B$26,$A26)+SUMIFS(武蔵野銀行!F$3:F$67,武蔵野銀行!$B$3:$B$67,$A26)</f>
        <v>0</v>
      </c>
    </row>
    <row r="27" spans="1:5" ht="18">
      <c r="A27" s="69" t="s">
        <v>104</v>
      </c>
      <c r="B27" s="70">
        <f>SUM(B10:B26)</f>
        <v>1854700</v>
      </c>
      <c r="C27" s="70">
        <f>SUM(C10:C26)</f>
        <v>7721672</v>
      </c>
      <c r="D27" s="70">
        <f>SUM(D10:D26)</f>
        <v>6548661</v>
      </c>
      <c r="E27" s="70">
        <f>SUM(E10:E26)</f>
        <v>5436993</v>
      </c>
    </row>
    <row r="30" spans="1:5">
      <c r="A30" s="65" t="s">
        <v>105</v>
      </c>
    </row>
    <row r="31" spans="1:5">
      <c r="A31" s="66" t="s">
        <v>2</v>
      </c>
      <c r="B31" s="66" t="s">
        <v>3</v>
      </c>
      <c r="C31" s="66" t="s">
        <v>4</v>
      </c>
      <c r="D31" s="66" t="s">
        <v>5</v>
      </c>
      <c r="E31" s="66" t="s">
        <v>6</v>
      </c>
    </row>
    <row r="32" spans="1:5" ht="18">
      <c r="A32" s="67" t="s">
        <v>10</v>
      </c>
      <c r="B32" s="68">
        <f>SUMIFS(みずほ銀行!C$4:C$26,みずほ銀行!$B$4:$B$26,$A32)</f>
        <v>0</v>
      </c>
      <c r="C32" s="68">
        <f>SUMIFS(みずほ銀行!D$4:D$26,みずほ銀行!$B$4:$B$26,$A32)</f>
        <v>84208</v>
      </c>
      <c r="D32" s="68">
        <f>SUMIFS(みずほ銀行!E$4:E$26,みずほ銀行!$B$4:$B$26,$A32)</f>
        <v>82367</v>
      </c>
      <c r="E32" s="68">
        <f>SUMIFS(みずほ銀行!F$4:F$26,みずほ銀行!$B$4:$B$26,$A32)</f>
        <v>72308</v>
      </c>
    </row>
    <row r="33" spans="1:5" ht="18">
      <c r="A33" s="67" t="s">
        <v>22</v>
      </c>
      <c r="B33" s="68">
        <f>SUMIFS(みずほ銀行!C$4:C$26,みずほ銀行!$B$4:$B$26,$A33)</f>
        <v>0</v>
      </c>
      <c r="C33" s="68">
        <f>SUMIFS(みずほ銀行!D$4:D$26,みずほ銀行!$B$4:$B$26,$A33)</f>
        <v>14720</v>
      </c>
      <c r="D33" s="68">
        <f>SUMIFS(みずほ銀行!E$4:E$26,みずほ銀行!$B$4:$B$26,$A33)</f>
        <v>18301</v>
      </c>
      <c r="E33" s="68">
        <f>SUMIFS(みずほ銀行!F$4:F$26,みずほ銀行!$B$4:$B$26,$A33)</f>
        <v>17236</v>
      </c>
    </row>
    <row r="34" spans="1:5" ht="18">
      <c r="A34" s="67" t="s">
        <v>20</v>
      </c>
      <c r="B34" s="68">
        <f>SUMIFS(みずほ銀行!C$4:C$26,みずほ銀行!$B$4:$B$26,$A34)</f>
        <v>1794700</v>
      </c>
      <c r="C34" s="68">
        <f>SUMIFS(みずほ銀行!D$4:D$26,みずほ銀行!$B$4:$B$26,$A34)</f>
        <v>1580860</v>
      </c>
      <c r="D34" s="68">
        <f>SUMIFS(みずほ銀行!E$4:E$26,みずほ銀行!$B$4:$B$26,$A34)</f>
        <v>1580860</v>
      </c>
      <c r="E34" s="68">
        <f>SUMIFS(みずほ銀行!F$4:F$26,みずほ銀行!$B$4:$B$26,$A34)</f>
        <v>1712695</v>
      </c>
    </row>
    <row r="35" spans="1:5" ht="18">
      <c r="A35" s="67" t="s">
        <v>48</v>
      </c>
      <c r="B35" s="68">
        <f>SUMIFS(みずほ銀行!C$4:C$26,みずほ銀行!$B$4:$B$26,$A35)</f>
        <v>0</v>
      </c>
      <c r="C35" s="68">
        <f>SUMIFS(みずほ銀行!D$4:D$26,みずほ銀行!$B$4:$B$26,$A35)</f>
        <v>0</v>
      </c>
      <c r="D35" s="68">
        <f>SUMIFS(みずほ銀行!E$4:E$26,みずほ銀行!$B$4:$B$26,$A35)</f>
        <v>0</v>
      </c>
      <c r="E35" s="68">
        <f>SUMIFS(みずほ銀行!F$4:F$26,みずほ銀行!$B$4:$B$26,$A35)</f>
        <v>0</v>
      </c>
    </row>
    <row r="36" spans="1:5" ht="18">
      <c r="A36" s="67" t="s">
        <v>25</v>
      </c>
      <c r="B36" s="68">
        <f>SUMIFS(みずほ銀行!C$4:C$26,みずほ銀行!$B$4:$B$26,$A36)</f>
        <v>0</v>
      </c>
      <c r="C36" s="68">
        <f>SUMIFS(みずほ銀行!D$4:D$26,みずほ銀行!$B$4:$B$26,$A36)</f>
        <v>35310</v>
      </c>
      <c r="D36" s="68">
        <f>SUMIFS(みずほ銀行!E$4:E$26,みずほ銀行!$B$4:$B$26,$A36)</f>
        <v>0</v>
      </c>
      <c r="E36" s="68">
        <f>SUMIFS(みずほ銀行!F$4:F$26,みずほ銀行!$B$4:$B$26,$A36)</f>
        <v>0</v>
      </c>
    </row>
    <row r="37" spans="1:5" ht="18">
      <c r="A37" s="67" t="s">
        <v>16</v>
      </c>
      <c r="B37" s="68">
        <f>SUMIFS(みずほ銀行!C$4:C$26,みずほ銀行!$B$4:$B$26,$A37)</f>
        <v>0</v>
      </c>
      <c r="C37" s="68">
        <f>SUMIFS(みずほ銀行!D$4:D$26,みずほ銀行!$B$4:$B$26,$A37)</f>
        <v>160084</v>
      </c>
      <c r="D37" s="68">
        <f>SUMIFS(みずほ銀行!E$4:E$26,みずほ銀行!$B$4:$B$26,$A37)</f>
        <v>102568</v>
      </c>
      <c r="E37" s="68">
        <f>SUMIFS(みずほ銀行!F$4:F$26,みずほ銀行!$B$4:$B$26,$A37)</f>
        <v>93408</v>
      </c>
    </row>
    <row r="38" spans="1:5" ht="18">
      <c r="A38" s="67" t="s">
        <v>103</v>
      </c>
      <c r="B38" s="68">
        <f>SUMIFS(みずほ銀行!C$4:C$26,みずほ銀行!$B$4:$B$26,$A38)</f>
        <v>0</v>
      </c>
      <c r="C38" s="68">
        <f>SUMIFS(みずほ銀行!D$4:D$26,みずほ銀行!$B$4:$B$26,$A38)</f>
        <v>0</v>
      </c>
      <c r="D38" s="68">
        <f>SUMIFS(みずほ銀行!E$4:E$26,みずほ銀行!$B$4:$B$26,$A38)</f>
        <v>66448</v>
      </c>
      <c r="E38" s="68">
        <f>SUMIFS(みずほ銀行!F$4:F$26,みずほ銀行!$B$4:$B$26,$A38)</f>
        <v>0</v>
      </c>
    </row>
    <row r="39" spans="1:5" ht="18">
      <c r="A39" s="67" t="s">
        <v>58</v>
      </c>
      <c r="B39" s="68">
        <f>SUMIFS(みずほ銀行!C$4:C$26,みずほ銀行!$B$4:$B$26,$A39)</f>
        <v>0</v>
      </c>
      <c r="C39" s="68">
        <f>SUMIFS(みずほ銀行!D$4:D$26,みずほ銀行!$B$4:$B$26,$A39)</f>
        <v>0</v>
      </c>
      <c r="D39" s="68">
        <f>SUMIFS(みずほ銀行!E$4:E$26,みずほ銀行!$B$4:$B$26,$A39)</f>
        <v>0</v>
      </c>
      <c r="E39" s="68">
        <f>SUMIFS(みずほ銀行!F$4:F$26,みずほ銀行!$B$4:$B$26,$A39)</f>
        <v>0</v>
      </c>
    </row>
    <row r="40" spans="1:5" ht="18">
      <c r="A40" s="67" t="s">
        <v>57</v>
      </c>
      <c r="B40" s="68">
        <f>SUMIFS(みずほ銀行!C$4:C$26,みずほ銀行!$B$4:$B$26,$A40)</f>
        <v>0</v>
      </c>
      <c r="C40" s="68">
        <f>SUMIFS(みずほ銀行!D$4:D$26,みずほ銀行!$B$4:$B$26,$A40)</f>
        <v>0</v>
      </c>
      <c r="D40" s="68">
        <f>SUMIFS(みずほ銀行!E$4:E$26,みずほ銀行!$B$4:$B$26,$A40)</f>
        <v>0</v>
      </c>
      <c r="E40" s="68">
        <f>SUMIFS(みずほ銀行!F$4:F$26,みずほ銀行!$B$4:$B$26,$A40)</f>
        <v>0</v>
      </c>
    </row>
    <row r="41" spans="1:5" ht="18">
      <c r="A41" s="67" t="s">
        <v>56</v>
      </c>
      <c r="B41" s="68">
        <f>SUMIFS(みずほ銀行!C$4:C$26,みずほ銀行!$B$4:$B$26,$A41)</f>
        <v>0</v>
      </c>
      <c r="C41" s="68">
        <f>SUMIFS(みずほ銀行!D$4:D$26,みずほ銀行!$B$4:$B$26,$A41)</f>
        <v>0</v>
      </c>
      <c r="D41" s="68">
        <f>SUMIFS(みずほ銀行!E$4:E$26,みずほ銀行!$B$4:$B$26,$A41)</f>
        <v>0</v>
      </c>
      <c r="E41" s="68">
        <f>SUMIFS(みずほ銀行!F$4:F$26,みずほ銀行!$B$4:$B$26,$A41)</f>
        <v>0</v>
      </c>
    </row>
    <row r="42" spans="1:5" ht="18">
      <c r="A42" s="67" t="s">
        <v>54</v>
      </c>
      <c r="B42" s="68">
        <f>SUMIFS(みずほ銀行!C$4:C$26,みずほ銀行!$B$4:$B$26,$A42)</f>
        <v>0</v>
      </c>
      <c r="C42" s="68">
        <f>SUMIFS(みずほ銀行!D$4:D$26,みずほ銀行!$B$4:$B$26,$A42)</f>
        <v>0</v>
      </c>
      <c r="D42" s="68">
        <f>SUMIFS(みずほ銀行!E$4:E$26,みずほ銀行!$B$4:$B$26,$A42)</f>
        <v>0</v>
      </c>
      <c r="E42" s="68">
        <f>SUMIFS(みずほ銀行!F$4:F$26,みずほ銀行!$B$4:$B$26,$A42)</f>
        <v>0</v>
      </c>
    </row>
    <row r="43" spans="1:5" ht="18">
      <c r="A43" s="67" t="s">
        <v>87</v>
      </c>
      <c r="B43" s="68">
        <f>SUMIFS(みずほ銀行!C$4:C$26,みずほ銀行!$B$4:$B$26,$A43)</f>
        <v>0</v>
      </c>
      <c r="C43" s="68">
        <f>SUMIFS(みずほ銀行!D$4:D$26,みずほ銀行!$B$4:$B$26,$A43)</f>
        <v>0</v>
      </c>
      <c r="D43" s="68">
        <f>SUMIFS(みずほ銀行!E$4:E$26,みずほ銀行!$B$4:$B$26,$A43)</f>
        <v>0</v>
      </c>
      <c r="E43" s="68">
        <f>SUMIFS(みずほ銀行!F$4:F$26,みずほ銀行!$B$4:$B$26,$A43)</f>
        <v>0</v>
      </c>
    </row>
    <row r="44" spans="1:5" ht="18">
      <c r="A44" s="67" t="s">
        <v>83</v>
      </c>
      <c r="B44" s="68">
        <f>SUMIFS(みずほ銀行!C$4:C$26,みずほ銀行!$B$4:$B$26,$A44)</f>
        <v>0</v>
      </c>
      <c r="C44" s="68">
        <f>SUMIFS(みずほ銀行!D$4:D$26,みずほ銀行!$B$4:$B$26,$A44)</f>
        <v>0</v>
      </c>
      <c r="D44" s="68">
        <f>SUMIFS(みずほ銀行!E$4:E$26,みずほ銀行!$B$4:$B$26,$A44)</f>
        <v>0</v>
      </c>
      <c r="E44" s="68">
        <f>SUMIFS(みずほ銀行!F$4:F$26,みずほ銀行!$B$4:$B$26,$A44)</f>
        <v>0</v>
      </c>
    </row>
    <row r="45" spans="1:5" ht="18">
      <c r="A45" s="67" t="s">
        <v>43</v>
      </c>
      <c r="B45" s="68">
        <f>SUMIFS(みずほ銀行!C$4:C$26,みずほ銀行!$B$4:$B$26,$A45)</f>
        <v>60000</v>
      </c>
      <c r="C45" s="68">
        <f>SUMIFS(みずほ銀行!D$4:D$26,みずほ銀行!$B$4:$B$26,$A45)</f>
        <v>0</v>
      </c>
      <c r="D45" s="68">
        <f>SUMIFS(みずほ銀行!E$4:E$26,みずほ銀行!$B$4:$B$26,$A45)</f>
        <v>0</v>
      </c>
      <c r="E45" s="68">
        <f>SUMIFS(みずほ銀行!F$4:F$26,みずほ銀行!$B$4:$B$26,$A45)</f>
        <v>0</v>
      </c>
    </row>
    <row r="46" spans="1:5" ht="18">
      <c r="A46" s="67" t="s">
        <v>88</v>
      </c>
      <c r="B46" s="68">
        <f>SUMIFS(みずほ銀行!C$4:C$26,みずほ銀行!$B$4:$B$26,$A46)</f>
        <v>0</v>
      </c>
      <c r="C46" s="68">
        <f>SUMIFS(みずほ銀行!D$4:D$26,みずほ銀行!$B$4:$B$26,$A46)</f>
        <v>0</v>
      </c>
      <c r="D46" s="68">
        <f>SUMIFS(みずほ銀行!E$4:E$26,みずほ銀行!$B$4:$B$26,$A46)</f>
        <v>0</v>
      </c>
      <c r="E46" s="68">
        <f>SUMIFS(みずほ銀行!F$4:F$26,みずほ銀行!$B$4:$B$26,$A46)</f>
        <v>0</v>
      </c>
    </row>
    <row r="47" spans="1:5" ht="18">
      <c r="A47" s="67" t="s">
        <v>63</v>
      </c>
      <c r="B47" s="68">
        <f>SUMIFS(みずほ銀行!C$4:C$26,みずほ銀行!$B$4:$B$26,$A47)</f>
        <v>0</v>
      </c>
      <c r="C47" s="68">
        <f>SUMIFS(みずほ銀行!D$4:D$26,みずほ銀行!$B$4:$B$26,$A47)</f>
        <v>0</v>
      </c>
      <c r="D47" s="68">
        <f>SUMIFS(みずほ銀行!E$4:E$26,みずほ銀行!$B$4:$B$26,$A47)</f>
        <v>0</v>
      </c>
      <c r="E47" s="68">
        <f>SUMIFS(みずほ銀行!F$4:F$26,みずほ銀行!$B$4:$B$26,$A47)</f>
        <v>0</v>
      </c>
    </row>
    <row r="48" spans="1:5" ht="18">
      <c r="A48" s="67" t="s">
        <v>52</v>
      </c>
      <c r="B48" s="68">
        <f>SUMIFS(みずほ銀行!C$4:C$26,みずほ銀行!$B$4:$B$26,$A48)</f>
        <v>0</v>
      </c>
      <c r="C48" s="68">
        <f>SUMIFS(みずほ銀行!D$4:D$26,みずほ銀行!$B$4:$B$26,$A48)</f>
        <v>0</v>
      </c>
      <c r="D48" s="68">
        <f>SUMIFS(みずほ銀行!E$4:E$26,みずほ銀行!$B$4:$B$26,$A48)</f>
        <v>0</v>
      </c>
      <c r="E48" s="68">
        <f>SUMIFS(みずほ銀行!F$4:F$26,みずほ銀行!$B$4:$B$26,$A48)</f>
        <v>0</v>
      </c>
    </row>
    <row r="49" spans="1:5" ht="18">
      <c r="A49" s="69" t="s">
        <v>104</v>
      </c>
      <c r="B49" s="70">
        <f>SUM(B32:B48)</f>
        <v>1854700</v>
      </c>
      <c r="C49" s="70">
        <f>SUM(C32:C48)</f>
        <v>1875182</v>
      </c>
      <c r="D49" s="70">
        <f>SUM(D32:D48)</f>
        <v>1850544</v>
      </c>
      <c r="E49" s="70">
        <f>SUM(E32:E48)</f>
        <v>1895647</v>
      </c>
    </row>
    <row r="52" spans="1:5">
      <c r="A52" s="65" t="s">
        <v>106</v>
      </c>
    </row>
    <row r="53" spans="1:5">
      <c r="A53" s="66" t="s">
        <v>2</v>
      </c>
      <c r="B53" s="66" t="s">
        <v>3</v>
      </c>
      <c r="C53" s="66" t="s">
        <v>4</v>
      </c>
      <c r="D53" s="66" t="s">
        <v>5</v>
      </c>
      <c r="E53" s="66" t="s">
        <v>6</v>
      </c>
    </row>
    <row r="54" spans="1:5" ht="18">
      <c r="A54" s="67" t="s">
        <v>10</v>
      </c>
      <c r="B54" s="68">
        <f>SUMIFS(武蔵野銀行!C$3:C$67,武蔵野銀行!$B$3:$B$67,$A54)</f>
        <v>0</v>
      </c>
      <c r="C54" s="68">
        <f>SUMIFS(武蔵野銀行!D$3:D$67,武蔵野銀行!$B$3:$B$67,$A54)</f>
        <v>0</v>
      </c>
      <c r="D54" s="68">
        <f>SUMIFS(武蔵野銀行!E$3:E$67,武蔵野銀行!$B$3:$B$67,$A54)</f>
        <v>0</v>
      </c>
      <c r="E54" s="68">
        <f>SUMIFS(武蔵野銀行!F$3:F$67,武蔵野銀行!$B$3:$B$67,$A54)</f>
        <v>0</v>
      </c>
    </row>
    <row r="55" spans="1:5" ht="18">
      <c r="A55" s="67" t="s">
        <v>22</v>
      </c>
      <c r="B55" s="68">
        <f>SUMIFS(武蔵野銀行!C$3:C$67,武蔵野銀行!$B$3:$B$67,$A55)</f>
        <v>0</v>
      </c>
      <c r="C55" s="68">
        <f>SUMIFS(武蔵野銀行!D$3:D$67,武蔵野銀行!$B$3:$B$67,$A55)</f>
        <v>0</v>
      </c>
      <c r="D55" s="68">
        <f>SUMIFS(武蔵野銀行!E$3:E$67,武蔵野銀行!$B$3:$B$67,$A55)</f>
        <v>0</v>
      </c>
      <c r="E55" s="68">
        <f>SUMIFS(武蔵野銀行!F$3:F$67,武蔵野銀行!$B$3:$B$67,$A55)</f>
        <v>0</v>
      </c>
    </row>
    <row r="56" spans="1:5" ht="18">
      <c r="A56" s="67" t="s">
        <v>20</v>
      </c>
      <c r="B56" s="68">
        <f>SUMIFS(武蔵野銀行!C$3:C$67,武蔵野銀行!$B$3:$B$67,$A56)</f>
        <v>0</v>
      </c>
      <c r="C56" s="68">
        <f>SUMIFS(武蔵野銀行!D$3:D$67,武蔵野銀行!$B$3:$B$67,$A56)</f>
        <v>442200</v>
      </c>
      <c r="D56" s="68">
        <f>SUMIFS(武蔵野銀行!E$3:E$67,武蔵野銀行!$B$3:$B$67,$A56)</f>
        <v>442200</v>
      </c>
      <c r="E56" s="68">
        <f>SUMIFS(武蔵野銀行!F$3:F$67,武蔵野銀行!$B$3:$B$67,$A56)</f>
        <v>442200</v>
      </c>
    </row>
    <row r="57" spans="1:5" ht="18">
      <c r="A57" s="67" t="s">
        <v>48</v>
      </c>
      <c r="B57" s="68">
        <f>SUMIFS(武蔵野銀行!C$3:C$67,武蔵野銀行!$B$3:$B$67,$A57)</f>
        <v>0</v>
      </c>
      <c r="C57" s="68">
        <f>SUMIFS(武蔵野銀行!D$3:D$67,武蔵野銀行!$B$3:$B$67,$A57)</f>
        <v>849200</v>
      </c>
      <c r="D57" s="68">
        <f>SUMIFS(武蔵野銀行!E$3:E$67,武蔵野銀行!$B$3:$B$67,$A57)</f>
        <v>849200</v>
      </c>
      <c r="E57" s="68">
        <f>SUMIFS(武蔵野銀行!F$3:F$67,武蔵野銀行!$B$3:$B$67,$A57)</f>
        <v>849200</v>
      </c>
    </row>
    <row r="58" spans="1:5" ht="18">
      <c r="A58" s="67" t="s">
        <v>25</v>
      </c>
      <c r="B58" s="68">
        <f>SUMIFS(武蔵野銀行!C$3:C$67,武蔵野銀行!$B$3:$B$67,$A58)</f>
        <v>0</v>
      </c>
      <c r="C58" s="68">
        <f>SUMIFS(武蔵野銀行!D$3:D$67,武蔵野銀行!$B$3:$B$67,$A58)</f>
        <v>2993654</v>
      </c>
      <c r="D58" s="68">
        <f>SUMIFS(武蔵野銀行!E$3:E$67,武蔵野銀行!$B$3:$B$67,$A58)</f>
        <v>551560</v>
      </c>
      <c r="E58" s="68">
        <f>SUMIFS(武蔵野銀行!F$3:F$67,武蔵野銀行!$B$3:$B$67,$A58)</f>
        <v>1551552</v>
      </c>
    </row>
    <row r="59" spans="1:5" ht="18">
      <c r="A59" s="67" t="s">
        <v>16</v>
      </c>
      <c r="B59" s="68">
        <f>SUMIFS(武蔵野銀行!C$3:C$67,武蔵野銀行!$B$3:$B$67,$A59)</f>
        <v>0</v>
      </c>
      <c r="C59" s="68">
        <f>SUMIFS(武蔵野銀行!D$3:D$67,武蔵野銀行!$B$3:$B$67,$A59)</f>
        <v>783717</v>
      </c>
      <c r="D59" s="68">
        <f>SUMIFS(武蔵野銀行!E$3:E$67,武蔵野銀行!$B$3:$B$67,$A59)</f>
        <v>1198770</v>
      </c>
      <c r="E59" s="68">
        <f>SUMIFS(武蔵野銀行!F$3:F$67,武蔵野銀行!$B$3:$B$67,$A59)</f>
        <v>463834</v>
      </c>
    </row>
    <row r="60" spans="1:5" ht="18">
      <c r="A60" s="67" t="s">
        <v>103</v>
      </c>
      <c r="B60" s="68">
        <f>SUMIFS(武蔵野銀行!C$3:C$67,武蔵野銀行!$B$3:$B$67,$A60)</f>
        <v>0</v>
      </c>
      <c r="C60" s="68">
        <f>SUMIFS(武蔵野銀行!D$3:D$67,武蔵野銀行!$B$3:$B$67,$A60)</f>
        <v>0</v>
      </c>
      <c r="D60" s="68">
        <f>SUMIFS(武蔵野銀行!E$3:E$67,武蔵野銀行!$B$3:$B$67,$A60)</f>
        <v>0</v>
      </c>
      <c r="E60" s="68">
        <f>SUMIFS(武蔵野銀行!F$3:F$67,武蔵野銀行!$B$3:$B$67,$A60)</f>
        <v>0</v>
      </c>
    </row>
    <row r="61" spans="1:5" ht="18">
      <c r="A61" s="67" t="s">
        <v>58</v>
      </c>
      <c r="B61" s="68">
        <f>SUMIFS(武蔵野銀行!C$3:C$67,武蔵野銀行!$B$3:$B$67,$A61)</f>
        <v>0</v>
      </c>
      <c r="C61" s="68">
        <f>SUMIFS(武蔵野銀行!D$3:D$67,武蔵野銀行!$B$3:$B$67,$A61)</f>
        <v>0</v>
      </c>
      <c r="D61" s="68">
        <f>SUMIFS(武蔵野銀行!E$3:E$67,武蔵野銀行!$B$3:$B$67,$A61)</f>
        <v>0</v>
      </c>
      <c r="E61" s="68">
        <f>SUMIFS(武蔵野銀行!F$3:F$67,武蔵野銀行!$B$3:$B$67,$A61)</f>
        <v>0</v>
      </c>
    </row>
    <row r="62" spans="1:5" ht="18">
      <c r="A62" s="67" t="s">
        <v>57</v>
      </c>
      <c r="B62" s="68">
        <f>SUMIFS(武蔵野銀行!C$3:C$67,武蔵野銀行!$B$3:$B$67,$A62)</f>
        <v>0</v>
      </c>
      <c r="C62" s="68">
        <f>SUMIFS(武蔵野銀行!D$3:D$67,武蔵野銀行!$B$3:$B$67,$A62)</f>
        <v>8800</v>
      </c>
      <c r="D62" s="68">
        <f>SUMIFS(武蔵野銀行!E$3:E$67,武蔵野銀行!$B$3:$B$67,$A62)</f>
        <v>23550</v>
      </c>
      <c r="E62" s="68">
        <f>SUMIFS(武蔵野銀行!F$3:F$67,武蔵野銀行!$B$3:$B$67,$A62)</f>
        <v>0</v>
      </c>
    </row>
    <row r="63" spans="1:5" ht="18">
      <c r="A63" s="67" t="s">
        <v>56</v>
      </c>
      <c r="B63" s="68">
        <f>SUMIFS(武蔵野銀行!C$3:C$67,武蔵野銀行!$B$3:$B$67,$A63)</f>
        <v>0</v>
      </c>
      <c r="C63" s="68">
        <f>SUMIFS(武蔵野銀行!D$3:D$67,武蔵野銀行!$B$3:$B$67,$A63)</f>
        <v>7500</v>
      </c>
      <c r="D63" s="68">
        <f>SUMIFS(武蔵野銀行!E$3:E$67,武蔵野銀行!$B$3:$B$67,$A63)</f>
        <v>0</v>
      </c>
      <c r="E63" s="68">
        <f>SUMIFS(武蔵野銀行!F$3:F$67,武蔵野銀行!$B$3:$B$67,$A63)</f>
        <v>0</v>
      </c>
    </row>
    <row r="64" spans="1:5" ht="18">
      <c r="A64" s="67" t="s">
        <v>54</v>
      </c>
      <c r="B64" s="68">
        <f>SUMIFS(武蔵野銀行!C$3:C$67,武蔵野銀行!$B$3:$B$67,$A64)</f>
        <v>0</v>
      </c>
      <c r="C64" s="68">
        <f>SUMIFS(武蔵野銀行!D$3:D$67,武蔵野銀行!$B$3:$B$67,$A64)</f>
        <v>17540</v>
      </c>
      <c r="D64" s="68">
        <f>SUMIFS(武蔵野銀行!E$3:E$67,武蔵野銀行!$B$3:$B$67,$A64)</f>
        <v>22400</v>
      </c>
      <c r="E64" s="68">
        <f>SUMIFS(武蔵野銀行!F$3:F$67,武蔵野銀行!$B$3:$B$67,$A64)</f>
        <v>0</v>
      </c>
    </row>
    <row r="65" spans="1:5" ht="18">
      <c r="A65" s="67" t="s">
        <v>87</v>
      </c>
      <c r="B65" s="68">
        <f>SUMIFS(武蔵野銀行!C$3:C$67,武蔵野銀行!$B$3:$B$67,$A65)</f>
        <v>0</v>
      </c>
      <c r="C65" s="68">
        <f>SUMIFS(武蔵野銀行!D$3:D$67,武蔵野銀行!$B$3:$B$67,$A65)</f>
        <v>0</v>
      </c>
      <c r="D65" s="68">
        <f>SUMIFS(武蔵野銀行!E$3:E$67,武蔵野銀行!$B$3:$B$67,$A65)</f>
        <v>0</v>
      </c>
      <c r="E65" s="68">
        <f>SUMIFS(武蔵野銀行!F$3:F$67,武蔵野銀行!$B$3:$B$67,$A65)</f>
        <v>0</v>
      </c>
    </row>
    <row r="66" spans="1:5" ht="18">
      <c r="A66" s="67" t="s">
        <v>83</v>
      </c>
      <c r="B66" s="68">
        <f>SUMIFS(武蔵野銀行!C$3:C$67,武蔵野銀行!$B$3:$B$67,$A66)</f>
        <v>0</v>
      </c>
      <c r="C66" s="68">
        <f>SUMIFS(武蔵野銀行!D$3:D$67,武蔵野銀行!$B$3:$B$67,$A66)</f>
        <v>0</v>
      </c>
      <c r="D66" s="68">
        <f>SUMIFS(武蔵野銀行!E$3:E$67,武蔵野銀行!$B$3:$B$67,$A66)</f>
        <v>72458</v>
      </c>
      <c r="E66" s="68">
        <f>SUMIFS(武蔵野銀行!F$3:F$67,武蔵野銀行!$B$3:$B$67,$A66)</f>
        <v>0</v>
      </c>
    </row>
    <row r="67" spans="1:5" ht="18">
      <c r="A67" s="67" t="s">
        <v>43</v>
      </c>
      <c r="B67" s="68">
        <f>SUMIFS(武蔵野銀行!C$3:C$67,武蔵野銀行!$B$3:$B$67,$A67)</f>
        <v>0</v>
      </c>
      <c r="C67" s="68">
        <f>SUMIFS(武蔵野銀行!D$3:D$67,武蔵野銀行!$B$3:$B$67,$A67)</f>
        <v>266287</v>
      </c>
      <c r="D67" s="68">
        <f>SUMIFS(武蔵野銀行!E$3:E$67,武蔵野銀行!$B$3:$B$67,$A67)</f>
        <v>434177</v>
      </c>
      <c r="E67" s="68">
        <f>SUMIFS(武蔵野銀行!F$3:F$67,武蔵野銀行!$B$3:$B$67,$A67)</f>
        <v>234560</v>
      </c>
    </row>
    <row r="68" spans="1:5" ht="18">
      <c r="A68" s="67" t="s">
        <v>88</v>
      </c>
      <c r="B68" s="68">
        <f>SUMIFS(武蔵野銀行!C$3:C$67,武蔵野銀行!$B$3:$B$67,$A68)</f>
        <v>0</v>
      </c>
      <c r="C68" s="68">
        <f>SUMIFS(武蔵野銀行!D$3:D$67,武蔵野銀行!$B$3:$B$67,$A68)</f>
        <v>477592</v>
      </c>
      <c r="D68" s="68">
        <f>SUMIFS(武蔵野銀行!E$3:E$67,武蔵野銀行!$B$3:$B$67,$A68)</f>
        <v>1103802</v>
      </c>
      <c r="E68" s="68">
        <f>SUMIFS(武蔵野銀行!F$3:F$67,武蔵野銀行!$B$3:$B$67,$A68)</f>
        <v>0</v>
      </c>
    </row>
    <row r="69" spans="1:5" ht="18">
      <c r="A69" s="67" t="s">
        <v>63</v>
      </c>
      <c r="B69" s="68">
        <f>SUMIFS(武蔵野銀行!C$3:C$67,武蔵野銀行!$B$3:$B$67,$A69)</f>
        <v>0</v>
      </c>
      <c r="C69" s="68">
        <f>SUMIFS(武蔵野銀行!D$3:D$67,武蔵野銀行!$B$3:$B$67,$A69)</f>
        <v>0</v>
      </c>
      <c r="D69" s="68">
        <f>SUMIFS(武蔵野銀行!E$3:E$67,武蔵野銀行!$B$3:$B$67,$A69)</f>
        <v>0</v>
      </c>
      <c r="E69" s="68">
        <f>SUMIFS(武蔵野銀行!F$3:F$67,武蔵野銀行!$B$3:$B$67,$A69)</f>
        <v>0</v>
      </c>
    </row>
    <row r="70" spans="1:5" ht="18">
      <c r="A70" s="67" t="s">
        <v>52</v>
      </c>
      <c r="B70" s="68">
        <f>SUMIFS(武蔵野銀行!C$3:C$67,武蔵野銀行!$B$3:$B$67,$A70)</f>
        <v>0</v>
      </c>
      <c r="C70" s="68">
        <f>SUMIFS(武蔵野銀行!D$3:D$67,武蔵野銀行!$B$3:$B$67,$A70)</f>
        <v>0</v>
      </c>
      <c r="D70" s="68">
        <f>SUMIFS(武蔵野銀行!E$3:E$67,武蔵野銀行!$B$3:$B$67,$A70)</f>
        <v>0</v>
      </c>
      <c r="E70" s="68">
        <f>SUMIFS(武蔵野銀行!F$3:F$67,武蔵野銀行!$B$3:$B$67,$A70)</f>
        <v>0</v>
      </c>
    </row>
    <row r="71" spans="1:5" ht="18">
      <c r="A71" s="69" t="s">
        <v>104</v>
      </c>
      <c r="B71" s="70">
        <f>SUM(B54:B70)</f>
        <v>0</v>
      </c>
      <c r="C71" s="70">
        <f>SUM(C54:C70)</f>
        <v>5846490</v>
      </c>
      <c r="D71" s="70">
        <f>SUM(D54:D70)</f>
        <v>4698117</v>
      </c>
      <c r="E71" s="70">
        <f>SUM(E54:E70)</f>
        <v>3541346</v>
      </c>
    </row>
  </sheetData>
  <phoneticPr fontId="27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みずほ銀行</vt:lpstr>
      <vt:lpstr>武蔵野銀行</vt:lpstr>
      <vt:lpstr>勘定科目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001 UrbanPC</cp:lastModifiedBy>
  <cp:revision>0</cp:revision>
  <dcterms:created xsi:type="dcterms:W3CDTF">2026-08-20T08:16:49Z</dcterms:created>
  <dcterms:modified xsi:type="dcterms:W3CDTF">2026-09-07T09:02:12Z</dcterms:modified>
  <dc:language>en-US</dc:language>
</cp:coreProperties>
</file>