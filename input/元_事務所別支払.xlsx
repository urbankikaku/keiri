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ban\Desktop\支払い一覧\"/>
    </mc:Choice>
  </mc:AlternateContent>
  <xr:revisionPtr revIDLastSave="0" documentId="13_ncr:1_{53437EA3-8CC4-4B68-9E14-F809539E26C7}" xr6:coauthVersionLast="47" xr6:coauthVersionMax="47" xr10:uidLastSave="{00000000-0000-0000-0000-000000000000}"/>
  <bookViews>
    <workbookView xWindow="-38520" yWindow="-120" windowWidth="38640" windowHeight="15720" xr2:uid="{1A145DA8-C649-464F-996C-C656A9B67F6E}"/>
  </bookViews>
  <sheets>
    <sheet name="井坂事務所" sheetId="3" r:id="rId1"/>
    <sheet name="岡崎事務所" sheetId="1" r:id="rId2"/>
    <sheet name="綾測" sheetId="2" r:id="rId3"/>
    <sheet name="合計" sheetId="5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9" i="1"/>
  <c r="E9" i="3"/>
  <c r="B3" i="5"/>
  <c r="G3" i="5"/>
  <c r="B4" i="5"/>
  <c r="G4" i="5"/>
  <c r="B5" i="5"/>
  <c r="G5" i="5"/>
  <c r="B6" i="5"/>
  <c r="G6" i="5"/>
  <c r="B7" i="5"/>
  <c r="G7" i="5"/>
  <c r="B8" i="5"/>
  <c r="G8" i="5"/>
  <c r="B9" i="5"/>
  <c r="C9" i="5"/>
  <c r="D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C26" i="5"/>
  <c r="D26" i="5"/>
  <c r="E26" i="5"/>
  <c r="F26" i="5"/>
  <c r="G26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B31" i="5"/>
  <c r="C31" i="5"/>
  <c r="D31" i="5"/>
  <c r="E31" i="5"/>
  <c r="F31" i="5"/>
  <c r="G31" i="5"/>
  <c r="B32" i="5"/>
  <c r="C32" i="5"/>
  <c r="D32" i="5"/>
  <c r="E32" i="5"/>
  <c r="F32" i="5"/>
  <c r="G3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G2" i="5"/>
  <c r="B2" i="5"/>
  <c r="I8" i="5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F30" i="2" s="1"/>
  <c r="E31" i="2"/>
  <c r="F31" i="2" s="1"/>
  <c r="E32" i="2"/>
  <c r="E33" i="2"/>
  <c r="E34" i="2"/>
  <c r="E35" i="2"/>
  <c r="E36" i="2"/>
  <c r="E37" i="2"/>
  <c r="F37" i="2" s="1"/>
  <c r="E2" i="2"/>
  <c r="E3" i="2"/>
  <c r="E4" i="2"/>
  <c r="E5" i="2"/>
  <c r="E6" i="2"/>
  <c r="E7" i="2"/>
  <c r="E8" i="2"/>
  <c r="C34" i="3"/>
  <c r="D34" i="3"/>
  <c r="E34" i="3" s="1"/>
  <c r="C35" i="3"/>
  <c r="D35" i="3" s="1"/>
  <c r="C36" i="3"/>
  <c r="D36" i="3"/>
  <c r="E36" i="3"/>
  <c r="F36" i="3" s="1"/>
  <c r="C37" i="3"/>
  <c r="D37" i="3" s="1"/>
  <c r="C19" i="3"/>
  <c r="D19" i="3"/>
  <c r="E19" i="3"/>
  <c r="F19" i="3"/>
  <c r="C20" i="3"/>
  <c r="D20" i="3"/>
  <c r="E20" i="3" s="1"/>
  <c r="C21" i="3"/>
  <c r="D21" i="3" s="1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 s="1"/>
  <c r="F25" i="3" s="1"/>
  <c r="C26" i="3"/>
  <c r="D26" i="3"/>
  <c r="F26" i="3" s="1"/>
  <c r="E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 s="1"/>
  <c r="C32" i="3"/>
  <c r="D32" i="3" s="1"/>
  <c r="C33" i="3"/>
  <c r="D33" i="3"/>
  <c r="E33" i="3"/>
  <c r="F33" i="3"/>
  <c r="C19" i="1"/>
  <c r="D19" i="1" s="1"/>
  <c r="C20" i="1"/>
  <c r="D20" i="1"/>
  <c r="E20" i="1" s="1"/>
  <c r="C21" i="1"/>
  <c r="D21" i="1"/>
  <c r="E21" i="1"/>
  <c r="F21" i="1"/>
  <c r="C22" i="1"/>
  <c r="D22" i="1"/>
  <c r="F22" i="1" s="1"/>
  <c r="E22" i="1"/>
  <c r="C23" i="1"/>
  <c r="D23" i="1"/>
  <c r="E23" i="1"/>
  <c r="F23" i="1"/>
  <c r="C24" i="1"/>
  <c r="D24" i="1"/>
  <c r="E24" i="1" s="1"/>
  <c r="C25" i="1"/>
  <c r="D25" i="1"/>
  <c r="E25" i="1"/>
  <c r="F25" i="1"/>
  <c r="C26" i="1"/>
  <c r="D26" i="1"/>
  <c r="E26" i="1" s="1"/>
  <c r="F26" i="1" s="1"/>
  <c r="C27" i="1"/>
  <c r="D27" i="1"/>
  <c r="E27" i="1"/>
  <c r="F27" i="1"/>
  <c r="C28" i="1"/>
  <c r="D28" i="1" s="1"/>
  <c r="C29" i="1"/>
  <c r="D29" i="1"/>
  <c r="E29" i="1"/>
  <c r="F29" i="1"/>
  <c r="C30" i="1"/>
  <c r="D30" i="1" s="1"/>
  <c r="C31" i="1"/>
  <c r="D31" i="1"/>
  <c r="E31" i="1" s="1"/>
  <c r="C32" i="1"/>
  <c r="D32" i="1"/>
  <c r="E32" i="1"/>
  <c r="F32" i="1"/>
  <c r="C33" i="1"/>
  <c r="D33" i="1"/>
  <c r="F33" i="1" s="1"/>
  <c r="E33" i="1"/>
  <c r="C34" i="1"/>
  <c r="D34" i="1"/>
  <c r="E34" i="1"/>
  <c r="F34" i="1"/>
  <c r="C35" i="1"/>
  <c r="D35" i="1"/>
  <c r="E35" i="1" s="1"/>
  <c r="C36" i="1"/>
  <c r="D36" i="1"/>
  <c r="E36" i="1"/>
  <c r="F36" i="1"/>
  <c r="C37" i="1"/>
  <c r="D37" i="1"/>
  <c r="E37" i="1"/>
  <c r="F37" i="1"/>
  <c r="C19" i="2"/>
  <c r="D19" i="2"/>
  <c r="F19" i="2"/>
  <c r="C20" i="2"/>
  <c r="D20" i="2"/>
  <c r="F20" i="2"/>
  <c r="C21" i="2"/>
  <c r="D21" i="2"/>
  <c r="C22" i="2"/>
  <c r="D22" i="2"/>
  <c r="F22" i="2"/>
  <c r="C23" i="2"/>
  <c r="D23" i="2"/>
  <c r="F23" i="2"/>
  <c r="C24" i="2"/>
  <c r="D24" i="2"/>
  <c r="F24" i="2" s="1"/>
  <c r="C25" i="2"/>
  <c r="D25" i="2"/>
  <c r="C26" i="2"/>
  <c r="D26" i="2"/>
  <c r="F26" i="2"/>
  <c r="C27" i="2"/>
  <c r="D27" i="2"/>
  <c r="F27" i="2"/>
  <c r="C28" i="2"/>
  <c r="D28" i="2"/>
  <c r="C29" i="2"/>
  <c r="D29" i="2"/>
  <c r="C30" i="2"/>
  <c r="D30" i="2"/>
  <c r="C31" i="2"/>
  <c r="D31" i="2"/>
  <c r="C32" i="2"/>
  <c r="D32" i="2"/>
  <c r="F32" i="2"/>
  <c r="C33" i="2"/>
  <c r="D33" i="2"/>
  <c r="F33" i="2"/>
  <c r="C34" i="2"/>
  <c r="D34" i="2"/>
  <c r="F34" i="2"/>
  <c r="C35" i="2"/>
  <c r="D35" i="2"/>
  <c r="F35" i="2" s="1"/>
  <c r="C36" i="2"/>
  <c r="D36" i="2"/>
  <c r="F36" i="2"/>
  <c r="C37" i="2"/>
  <c r="D37" i="2"/>
  <c r="F15" i="2"/>
  <c r="F16" i="2"/>
  <c r="F17" i="2"/>
  <c r="F18" i="2"/>
  <c r="C3" i="2"/>
  <c r="D3" i="2" s="1"/>
  <c r="D3" i="5" s="1"/>
  <c r="C4" i="2"/>
  <c r="C5" i="2"/>
  <c r="D5" i="2"/>
  <c r="F5" i="2" s="1"/>
  <c r="C6" i="2"/>
  <c r="D6" i="2"/>
  <c r="C7" i="2"/>
  <c r="D7" i="2" s="1"/>
  <c r="C8" i="2"/>
  <c r="C9" i="2"/>
  <c r="D9" i="2" s="1"/>
  <c r="C10" i="2"/>
  <c r="D10" i="2"/>
  <c r="F10" i="2"/>
  <c r="C11" i="2"/>
  <c r="D11" i="2"/>
  <c r="F11" i="2"/>
  <c r="C12" i="2"/>
  <c r="D12" i="2"/>
  <c r="F12" i="2"/>
  <c r="C13" i="2"/>
  <c r="D13" i="2"/>
  <c r="F13" i="2"/>
  <c r="C14" i="2"/>
  <c r="D14" i="2" s="1"/>
  <c r="C15" i="2"/>
  <c r="D15" i="2"/>
  <c r="C16" i="2"/>
  <c r="D16" i="2"/>
  <c r="C17" i="2"/>
  <c r="D17" i="2"/>
  <c r="C18" i="2"/>
  <c r="D18" i="2"/>
  <c r="D2" i="2"/>
  <c r="C2" i="2"/>
  <c r="C7" i="1"/>
  <c r="D7" i="1" s="1"/>
  <c r="C8" i="1"/>
  <c r="D8" i="1"/>
  <c r="E8" i="1"/>
  <c r="C9" i="1"/>
  <c r="D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 s="1"/>
  <c r="C14" i="1"/>
  <c r="D14" i="1" s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F18" i="1" s="1"/>
  <c r="E18" i="1"/>
  <c r="C3" i="1"/>
  <c r="D3" i="1"/>
  <c r="E3" i="1" s="1"/>
  <c r="C4" i="1"/>
  <c r="D4" i="1" s="1"/>
  <c r="C5" i="1"/>
  <c r="D5" i="1"/>
  <c r="E5" i="1" s="1"/>
  <c r="F5" i="1" s="1"/>
  <c r="C6" i="1"/>
  <c r="D6" i="1" s="1"/>
  <c r="D2" i="1"/>
  <c r="C2" i="1"/>
  <c r="C10" i="3"/>
  <c r="C11" i="3"/>
  <c r="C12" i="3"/>
  <c r="C13" i="3"/>
  <c r="C14" i="3"/>
  <c r="C15" i="3"/>
  <c r="C16" i="3"/>
  <c r="C17" i="3"/>
  <c r="C18" i="3"/>
  <c r="C2" i="3"/>
  <c r="D2" i="3" s="1"/>
  <c r="C3" i="3"/>
  <c r="D3" i="3"/>
  <c r="E3" i="3"/>
  <c r="E3" i="5" s="1"/>
  <c r="C4" i="3"/>
  <c r="D4" i="3" s="1"/>
  <c r="C5" i="3"/>
  <c r="D5" i="3" s="1"/>
  <c r="E5" i="3" s="1"/>
  <c r="C6" i="3"/>
  <c r="D6" i="3"/>
  <c r="D6" i="5" s="1"/>
  <c r="E6" i="3"/>
  <c r="F6" i="3"/>
  <c r="C7" i="3"/>
  <c r="C7" i="5" s="1"/>
  <c r="D7" i="3"/>
  <c r="F7" i="3" s="1"/>
  <c r="E7" i="3"/>
  <c r="C8" i="3"/>
  <c r="D8" i="3" s="1"/>
  <c r="D10" i="3"/>
  <c r="E10" i="3" s="1"/>
  <c r="F10" i="3" s="1"/>
  <c r="D11" i="3"/>
  <c r="E11" i="3" s="1"/>
  <c r="F11" i="3" s="1"/>
  <c r="D12" i="3"/>
  <c r="E12" i="3" s="1"/>
  <c r="F12" i="3" s="1"/>
  <c r="D13" i="3"/>
  <c r="E13" i="3" s="1"/>
  <c r="F13" i="3" s="1"/>
  <c r="D14" i="3"/>
  <c r="E14" i="3" s="1"/>
  <c r="F14" i="3" s="1"/>
  <c r="D15" i="3"/>
  <c r="E15" i="3" s="1"/>
  <c r="F15" i="3" s="1"/>
  <c r="D16" i="3"/>
  <c r="E16" i="3" s="1"/>
  <c r="F16" i="3" s="1"/>
  <c r="D17" i="3"/>
  <c r="E17" i="3" s="1"/>
  <c r="F17" i="3" s="1"/>
  <c r="D18" i="3"/>
  <c r="E18" i="3" s="1"/>
  <c r="F18" i="3" s="1"/>
  <c r="E8" i="3" l="1"/>
  <c r="E8" i="5" s="1"/>
  <c r="C8" i="5"/>
  <c r="F5" i="3"/>
  <c r="F5" i="5" s="1"/>
  <c r="C5" i="5"/>
  <c r="E5" i="5"/>
  <c r="C4" i="5"/>
  <c r="F3" i="3"/>
  <c r="E2" i="3"/>
  <c r="E2" i="5" s="1"/>
  <c r="C2" i="5"/>
  <c r="D2" i="5"/>
  <c r="E7" i="1"/>
  <c r="F7" i="1" s="1"/>
  <c r="F8" i="1"/>
  <c r="C6" i="5"/>
  <c r="D8" i="2"/>
  <c r="D8" i="5" s="1"/>
  <c r="F7" i="2"/>
  <c r="D7" i="5"/>
  <c r="D5" i="5"/>
  <c r="D4" i="2"/>
  <c r="C3" i="5"/>
  <c r="E9" i="5"/>
  <c r="F9" i="1"/>
  <c r="F25" i="2"/>
  <c r="F29" i="2"/>
  <c r="F21" i="2"/>
  <c r="F28" i="2"/>
  <c r="F6" i="2"/>
  <c r="F9" i="2"/>
  <c r="E37" i="3"/>
  <c r="F37" i="3" s="1"/>
  <c r="E35" i="3"/>
  <c r="F35" i="3"/>
  <c r="F34" i="3"/>
  <c r="E32" i="3"/>
  <c r="F32" i="3"/>
  <c r="E21" i="3"/>
  <c r="F21" i="3"/>
  <c r="F31" i="3"/>
  <c r="F20" i="3"/>
  <c r="E19" i="1"/>
  <c r="F19" i="1"/>
  <c r="E30" i="1"/>
  <c r="F30" i="1"/>
  <c r="E28" i="1"/>
  <c r="F28" i="1"/>
  <c r="F31" i="1"/>
  <c r="F20" i="1"/>
  <c r="F35" i="1"/>
  <c r="F24" i="1"/>
  <c r="F3" i="2"/>
  <c r="F14" i="2"/>
  <c r="F2" i="2"/>
  <c r="E14" i="1"/>
  <c r="F14" i="1" s="1"/>
  <c r="E13" i="1"/>
  <c r="F13" i="1"/>
  <c r="E6" i="1"/>
  <c r="F6" i="1" s="1"/>
  <c r="E4" i="1"/>
  <c r="F3" i="1"/>
  <c r="E2" i="1"/>
  <c r="F2" i="1" s="1"/>
  <c r="E4" i="3"/>
  <c r="F4" i="3" s="1"/>
  <c r="C9" i="3"/>
  <c r="D9" i="3" s="1"/>
  <c r="F9" i="3" s="1"/>
  <c r="F8" i="3" l="1"/>
  <c r="F3" i="5"/>
  <c r="F2" i="3"/>
  <c r="F2" i="5" s="1"/>
  <c r="F7" i="5"/>
  <c r="E7" i="5"/>
  <c r="F4" i="1"/>
  <c r="E4" i="5"/>
  <c r="F6" i="5"/>
  <c r="E6" i="5"/>
  <c r="F8" i="2"/>
  <c r="D4" i="5"/>
  <c r="F4" i="2"/>
  <c r="F4" i="5" s="1"/>
  <c r="F9" i="5"/>
  <c r="F8" i="5" l="1"/>
</calcChain>
</file>

<file path=xl/sharedStrings.xml><?xml version="1.0" encoding="utf-8"?>
<sst xmlns="http://schemas.openxmlformats.org/spreadsheetml/2006/main" count="26" uniqueCount="7">
  <si>
    <t>支払日</t>
    <rPh sb="0" eb="3">
      <t>シハライビ</t>
    </rPh>
    <phoneticPr fontId="2"/>
  </si>
  <si>
    <t>源泉徴収額</t>
    <rPh sb="0" eb="4">
      <t>ゲンセンチョウシュウ</t>
    </rPh>
    <rPh sb="4" eb="5">
      <t>ガク</t>
    </rPh>
    <phoneticPr fontId="2"/>
  </si>
  <si>
    <t>振込額</t>
    <rPh sb="0" eb="2">
      <t>フリコミ</t>
    </rPh>
    <rPh sb="2" eb="3">
      <t>ガク</t>
    </rPh>
    <phoneticPr fontId="2"/>
  </si>
  <si>
    <t>請求額（税込み）</t>
    <rPh sb="0" eb="3">
      <t>セイキュウガク</t>
    </rPh>
    <rPh sb="4" eb="6">
      <t>ゼイコ</t>
    </rPh>
    <phoneticPr fontId="2"/>
  </si>
  <si>
    <t>請求額（税抜き）</t>
    <rPh sb="0" eb="3">
      <t>セイキュウガク</t>
    </rPh>
    <rPh sb="4" eb="5">
      <t>ゼイ</t>
    </rPh>
    <rPh sb="5" eb="6">
      <t>ヌ</t>
    </rPh>
    <phoneticPr fontId="2"/>
  </si>
  <si>
    <t>消費税額</t>
    <rPh sb="0" eb="4">
      <t>ショウヒゼイガク</t>
    </rPh>
    <phoneticPr fontId="2"/>
  </si>
  <si>
    <t>銀行通帳の振込額</t>
    <rPh sb="0" eb="4">
      <t>ギンコウツウチョウ</t>
    </rPh>
    <rPh sb="5" eb="8">
      <t>フリコミガク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</si>
</sst>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0" fontId="3" fillId="0" borderId="0" xfId="0" applyFont="1">
      <alignment vertical="center"/>
    </xf>
    <xf numFmtId="38" fontId="3" fillId="0" borderId="0" xfId="1" applyFont="1">
      <alignment vertical="center"/>
    </xf>
    <xf numFmtId="38" fontId="0" fillId="0" borderId="0" xfId="1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38" fontId="4" fillId="0" borderId="0" xfId="1" applyFont="1" applyAlignment="1">
      <alignment horizontal="right" vertical="center"/>
    </xf>
    <xf numFmtId="38" fontId="4" fillId="0" borderId="0" xfId="1" applyFont="1">
      <alignment vertical="center"/>
    </xf>
    <xf numFmtId="38" fontId="4" fillId="0" borderId="0" xfId="0" applyNumberFormat="1" applyFont="1">
      <alignment vertical="center"/>
    </xf>
    <xf numFmtId="176" fontId="3" fillId="0" borderId="0" xfId="1" applyNumberFormat="1" applyFont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4" fontId="3" fillId="0" borderId="0" xfId="0" applyNumberFormat="1" applyFont="1" applyAlignment="1">
      <alignment horizontal="right" vertical="center"/>
    </xf>
    <xf numFmtId="38" fontId="5" fillId="0" borderId="0" xfId="1" applyFont="1" applyAlignment="1">
      <alignment horizontal="right" vertical="center"/>
    </xf>
    <xf numFmtId="38" fontId="5" fillId="0" borderId="0" xfId="1" applyFont="1">
      <alignment vertical="center"/>
    </xf>
    <xf numFmtId="38" fontId="5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38" fontId="4" fillId="2" borderId="0" xfId="0" applyNumberFormat="1" applyFont="1" applyFill="1">
      <alignment vertical="center"/>
    </xf>
    <xf numFmtId="38" fontId="3" fillId="2" borderId="0" xfId="1" applyFont="1" applyFill="1">
      <alignment vertical="center"/>
    </xf>
    <xf numFmtId="38" fontId="0" fillId="2" borderId="0" xfId="1" applyFont="1" applyFill="1">
      <alignment vertical="center"/>
    </xf>
    <xf numFmtId="38" fontId="6" fillId="0" borderId="0" xfId="1" applyFont="1">
      <alignment vertical="center"/>
    </xf>
    <xf numFmtId="38" fontId="6" fillId="0" borderId="0" xfId="1" applyFont="1" applyAlignment="1">
      <alignment horizontal="right" vertical="center"/>
    </xf>
    <xf numFmtId="38" fontId="7" fillId="0" borderId="0" xfId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EA17-02DD-4918-A0C8-47046DFA3177}">
  <dimension ref="A1:G39"/>
  <sheetViews>
    <sheetView tabSelected="1" workbookViewId="0">
      <selection activeCell="B2" sqref="B2:B9"/>
    </sheetView>
  </sheetViews>
  <sheetFormatPr defaultRowHeight="18" x14ac:dyDescent="0.45"/>
  <cols>
    <col min="1" max="1" width="11.3984375" bestFit="1" customWidth="1"/>
    <col min="2" max="2" width="16.296875" style="3" bestFit="1" customWidth="1"/>
    <col min="3" max="3" width="11.3984375" style="3" customWidth="1"/>
    <col min="4" max="4" width="17.19921875" style="3" bestFit="1" customWidth="1"/>
    <col min="5" max="5" width="11" style="3" bestFit="1" customWidth="1"/>
    <col min="6" max="6" width="13.19921875" customWidth="1"/>
    <col min="7" max="7" width="17.5" style="3" bestFit="1" customWidth="1"/>
  </cols>
  <sheetData>
    <row r="1" spans="1:7" x14ac:dyDescent="0.45">
      <c r="A1" s="5" t="s">
        <v>0</v>
      </c>
      <c r="B1" s="6" t="s">
        <v>4</v>
      </c>
      <c r="C1" s="6" t="s">
        <v>5</v>
      </c>
      <c r="D1" s="6" t="s">
        <v>3</v>
      </c>
      <c r="E1" s="6" t="s">
        <v>1</v>
      </c>
      <c r="F1" s="5" t="s">
        <v>2</v>
      </c>
      <c r="G1" s="6" t="s">
        <v>6</v>
      </c>
    </row>
    <row r="2" spans="1:7" x14ac:dyDescent="0.45">
      <c r="A2" s="20">
        <v>46053</v>
      </c>
      <c r="B2" s="24">
        <v>1080400</v>
      </c>
      <c r="C2" s="9">
        <f t="shared" ref="C2:C8" si="0">B2*0.1</f>
        <v>108040</v>
      </c>
      <c r="D2" s="10">
        <f t="shared" ref="D2:D8" si="1">B2+C2</f>
        <v>1188440</v>
      </c>
      <c r="E2" s="10">
        <f t="shared" ref="E2:E8" si="2">IF(D2&lt;=1000000,ROUNDDOWN(D2*0.1021,0),ROUNDDOWN(1000000*0.1021+(D2-1000000)*0.2042,0))</f>
        <v>140579</v>
      </c>
      <c r="F2" s="11">
        <f t="shared" ref="F2:F8" si="3">D2-E2</f>
        <v>1047861</v>
      </c>
      <c r="G2" s="3">
        <v>1047861</v>
      </c>
    </row>
    <row r="3" spans="1:7" x14ac:dyDescent="0.45">
      <c r="A3" s="8">
        <v>46081</v>
      </c>
      <c r="B3" s="24">
        <v>1199709</v>
      </c>
      <c r="C3" s="9">
        <f t="shared" si="0"/>
        <v>119970.90000000001</v>
      </c>
      <c r="D3" s="10">
        <f t="shared" si="1"/>
        <v>1319679.8999999999</v>
      </c>
      <c r="E3" s="10">
        <f t="shared" si="2"/>
        <v>167378</v>
      </c>
      <c r="F3" s="11">
        <f t="shared" si="3"/>
        <v>1152301.8999999999</v>
      </c>
      <c r="G3" s="3">
        <v>1152302</v>
      </c>
    </row>
    <row r="4" spans="1:7" x14ac:dyDescent="0.45">
      <c r="A4" s="20">
        <v>46112</v>
      </c>
      <c r="B4" s="24">
        <v>2022800</v>
      </c>
      <c r="C4" s="9">
        <f t="shared" si="0"/>
        <v>202280</v>
      </c>
      <c r="D4" s="10">
        <f t="shared" si="1"/>
        <v>2225080</v>
      </c>
      <c r="E4" s="10">
        <f t="shared" si="2"/>
        <v>352261</v>
      </c>
      <c r="F4" s="11">
        <f t="shared" si="3"/>
        <v>1872819</v>
      </c>
      <c r="G4" s="3">
        <v>1872819</v>
      </c>
    </row>
    <row r="5" spans="1:7" x14ac:dyDescent="0.45">
      <c r="A5" s="8">
        <v>46142</v>
      </c>
      <c r="B5" s="24">
        <v>2015200</v>
      </c>
      <c r="C5" s="9">
        <f t="shared" si="0"/>
        <v>201520</v>
      </c>
      <c r="D5" s="10">
        <f t="shared" si="1"/>
        <v>2216720</v>
      </c>
      <c r="E5" s="10">
        <f t="shared" si="2"/>
        <v>350554</v>
      </c>
      <c r="F5" s="11">
        <f t="shared" si="3"/>
        <v>1866166</v>
      </c>
      <c r="G5" s="3">
        <v>1866166</v>
      </c>
    </row>
    <row r="6" spans="1:7" x14ac:dyDescent="0.45">
      <c r="A6" s="20">
        <v>46173</v>
      </c>
      <c r="B6" s="24">
        <v>2087000</v>
      </c>
      <c r="C6" s="9">
        <f t="shared" si="0"/>
        <v>208700</v>
      </c>
      <c r="D6" s="10">
        <f t="shared" si="1"/>
        <v>2295700</v>
      </c>
      <c r="E6" s="10">
        <f t="shared" si="2"/>
        <v>366681</v>
      </c>
      <c r="F6" s="11">
        <f t="shared" si="3"/>
        <v>1929019</v>
      </c>
      <c r="G6" s="3">
        <v>1929019</v>
      </c>
    </row>
    <row r="7" spans="1:7" x14ac:dyDescent="0.45">
      <c r="A7" s="8">
        <v>46203</v>
      </c>
      <c r="B7" s="25">
        <v>2087200</v>
      </c>
      <c r="C7" s="9">
        <f t="shared" si="0"/>
        <v>208720</v>
      </c>
      <c r="D7" s="10">
        <f t="shared" si="1"/>
        <v>2295920</v>
      </c>
      <c r="E7" s="10">
        <f t="shared" si="2"/>
        <v>366726</v>
      </c>
      <c r="F7" s="11">
        <f t="shared" si="3"/>
        <v>1929194</v>
      </c>
      <c r="G7" s="3">
        <v>1929194</v>
      </c>
    </row>
    <row r="8" spans="1:7" x14ac:dyDescent="0.45">
      <c r="A8" s="20">
        <v>46234</v>
      </c>
      <c r="B8" s="24">
        <v>2233600</v>
      </c>
      <c r="C8" s="9">
        <f t="shared" si="0"/>
        <v>223360</v>
      </c>
      <c r="D8" s="10">
        <f t="shared" si="1"/>
        <v>2456960</v>
      </c>
      <c r="E8" s="10">
        <f t="shared" si="2"/>
        <v>399611</v>
      </c>
      <c r="F8" s="11">
        <f t="shared" si="3"/>
        <v>2057349</v>
      </c>
      <c r="G8" s="3">
        <v>2057349</v>
      </c>
    </row>
    <row r="9" spans="1:7" x14ac:dyDescent="0.45">
      <c r="A9" s="8">
        <v>46265</v>
      </c>
      <c r="B9" s="26">
        <v>374400</v>
      </c>
      <c r="C9" s="9">
        <f>B9*0.1</f>
        <v>37440</v>
      </c>
      <c r="D9" s="10">
        <f>B9+C9</f>
        <v>411840</v>
      </c>
      <c r="E9" s="10">
        <f>IF(D9&lt;=1000000,ROUNDDOWN(D9*0.1021,0),ROUNDDOWN(1000000*0.1021+(D9-1000000)*0.2042,0))</f>
        <v>42048</v>
      </c>
      <c r="F9" s="11">
        <f t="shared" ref="F9:F18" si="4">D9-E9</f>
        <v>369792</v>
      </c>
    </row>
    <row r="10" spans="1:7" x14ac:dyDescent="0.45">
      <c r="A10" s="2">
        <v>46295</v>
      </c>
      <c r="B10" s="7"/>
      <c r="C10" s="9">
        <f t="shared" ref="C10:C37" si="5">B10*0.1</f>
        <v>0</v>
      </c>
      <c r="D10" s="3">
        <f t="shared" ref="D10:D18" si="6">B10+C10</f>
        <v>0</v>
      </c>
      <c r="E10" s="3">
        <f t="shared" ref="E10:E37" si="7">IF(D10&lt;=1000000,ROUNDDOWN(D10*0.1021,0),ROUNDDOWN(1000000*0.1021+(D10-1000000)*0.2042,0))</f>
        <v>0</v>
      </c>
      <c r="F10" s="4">
        <f t="shared" si="4"/>
        <v>0</v>
      </c>
    </row>
    <row r="11" spans="1:7" x14ac:dyDescent="0.45">
      <c r="A11" s="1">
        <v>46326</v>
      </c>
      <c r="C11" s="9">
        <f t="shared" si="5"/>
        <v>0</v>
      </c>
      <c r="D11" s="3">
        <f t="shared" si="6"/>
        <v>0</v>
      </c>
      <c r="E11" s="3">
        <f t="shared" si="7"/>
        <v>0</v>
      </c>
      <c r="F11" s="4">
        <f t="shared" si="4"/>
        <v>0</v>
      </c>
    </row>
    <row r="12" spans="1:7" x14ac:dyDescent="0.45">
      <c r="A12" s="2">
        <v>46356</v>
      </c>
      <c r="B12" s="7"/>
      <c r="C12" s="9">
        <f t="shared" si="5"/>
        <v>0</v>
      </c>
      <c r="D12" s="3">
        <f t="shared" si="6"/>
        <v>0</v>
      </c>
      <c r="E12" s="3">
        <f t="shared" si="7"/>
        <v>0</v>
      </c>
      <c r="F12" s="4">
        <f t="shared" si="4"/>
        <v>0</v>
      </c>
    </row>
    <row r="13" spans="1:7" x14ac:dyDescent="0.45">
      <c r="A13" s="2">
        <v>46387</v>
      </c>
      <c r="B13" s="7"/>
      <c r="C13" s="9">
        <f t="shared" si="5"/>
        <v>0</v>
      </c>
      <c r="D13" s="3">
        <f t="shared" si="6"/>
        <v>0</v>
      </c>
      <c r="E13" s="3">
        <f t="shared" si="7"/>
        <v>0</v>
      </c>
      <c r="F13" s="4">
        <f t="shared" si="4"/>
        <v>0</v>
      </c>
    </row>
    <row r="14" spans="1:7" x14ac:dyDescent="0.45">
      <c r="A14" s="1">
        <v>46418</v>
      </c>
      <c r="C14" s="9">
        <f t="shared" si="5"/>
        <v>0</v>
      </c>
      <c r="D14" s="3">
        <f t="shared" si="6"/>
        <v>0</v>
      </c>
      <c r="E14" s="3">
        <f t="shared" si="7"/>
        <v>0</v>
      </c>
      <c r="F14" s="4">
        <f t="shared" si="4"/>
        <v>0</v>
      </c>
    </row>
    <row r="15" spans="1:7" x14ac:dyDescent="0.45">
      <c r="A15" s="2">
        <v>46446</v>
      </c>
      <c r="B15" s="7"/>
      <c r="C15" s="9">
        <f t="shared" si="5"/>
        <v>0</v>
      </c>
      <c r="D15" s="3">
        <f t="shared" si="6"/>
        <v>0</v>
      </c>
      <c r="E15" s="3">
        <f t="shared" si="7"/>
        <v>0</v>
      </c>
      <c r="F15" s="4">
        <f t="shared" si="4"/>
        <v>0</v>
      </c>
    </row>
    <row r="16" spans="1:7" x14ac:dyDescent="0.45">
      <c r="A16" s="2">
        <v>46477</v>
      </c>
      <c r="B16" s="7"/>
      <c r="C16" s="9">
        <f t="shared" si="5"/>
        <v>0</v>
      </c>
      <c r="D16" s="3">
        <f t="shared" si="6"/>
        <v>0</v>
      </c>
      <c r="E16" s="3">
        <f t="shared" si="7"/>
        <v>0</v>
      </c>
      <c r="F16" s="4">
        <f t="shared" si="4"/>
        <v>0</v>
      </c>
    </row>
    <row r="17" spans="1:6" x14ac:dyDescent="0.45">
      <c r="A17" s="1">
        <v>46507</v>
      </c>
      <c r="C17" s="9">
        <f t="shared" si="5"/>
        <v>0</v>
      </c>
      <c r="D17" s="3">
        <f t="shared" si="6"/>
        <v>0</v>
      </c>
      <c r="E17" s="3">
        <f t="shared" si="7"/>
        <v>0</v>
      </c>
      <c r="F17" s="4">
        <f t="shared" si="4"/>
        <v>0</v>
      </c>
    </row>
    <row r="18" spans="1:6" x14ac:dyDescent="0.45">
      <c r="A18" s="2">
        <v>46538</v>
      </c>
      <c r="B18" s="7"/>
      <c r="C18" s="9">
        <f t="shared" si="5"/>
        <v>0</v>
      </c>
      <c r="D18" s="3">
        <f t="shared" si="6"/>
        <v>0</v>
      </c>
      <c r="E18" s="3">
        <f t="shared" si="7"/>
        <v>0</v>
      </c>
      <c r="F18" s="4">
        <f t="shared" si="4"/>
        <v>0</v>
      </c>
    </row>
    <row r="19" spans="1:6" x14ac:dyDescent="0.45">
      <c r="A19" s="1">
        <v>46568</v>
      </c>
      <c r="C19" s="9">
        <f t="shared" si="5"/>
        <v>0</v>
      </c>
      <c r="D19" s="3">
        <f t="shared" ref="D19:D35" si="8">B19+C19</f>
        <v>0</v>
      </c>
      <c r="E19" s="3">
        <f t="shared" si="7"/>
        <v>0</v>
      </c>
      <c r="F19" s="4">
        <f t="shared" ref="F19:F35" si="9">D19-E19</f>
        <v>0</v>
      </c>
    </row>
    <row r="20" spans="1:6" x14ac:dyDescent="0.45">
      <c r="A20" s="2">
        <v>46599</v>
      </c>
      <c r="B20" s="7"/>
      <c r="C20" s="9">
        <f t="shared" si="5"/>
        <v>0</v>
      </c>
      <c r="D20" s="3">
        <f t="shared" si="8"/>
        <v>0</v>
      </c>
      <c r="E20" s="3">
        <f t="shared" si="7"/>
        <v>0</v>
      </c>
      <c r="F20" s="4">
        <f t="shared" si="9"/>
        <v>0</v>
      </c>
    </row>
    <row r="21" spans="1:6" x14ac:dyDescent="0.45">
      <c r="A21" s="1">
        <v>46630</v>
      </c>
      <c r="C21" s="9">
        <f t="shared" si="5"/>
        <v>0</v>
      </c>
      <c r="D21" s="3">
        <f t="shared" si="8"/>
        <v>0</v>
      </c>
      <c r="E21" s="3">
        <f t="shared" si="7"/>
        <v>0</v>
      </c>
      <c r="F21" s="4">
        <f t="shared" si="9"/>
        <v>0</v>
      </c>
    </row>
    <row r="22" spans="1:6" x14ac:dyDescent="0.45">
      <c r="A22" s="2">
        <v>46660</v>
      </c>
      <c r="B22" s="7"/>
      <c r="C22" s="9">
        <f t="shared" si="5"/>
        <v>0</v>
      </c>
      <c r="D22" s="3">
        <f t="shared" si="8"/>
        <v>0</v>
      </c>
      <c r="E22" s="3">
        <f t="shared" si="7"/>
        <v>0</v>
      </c>
      <c r="F22" s="4">
        <f t="shared" si="9"/>
        <v>0</v>
      </c>
    </row>
    <row r="23" spans="1:6" x14ac:dyDescent="0.45">
      <c r="A23" s="1">
        <v>46691</v>
      </c>
      <c r="C23" s="9">
        <f t="shared" si="5"/>
        <v>0</v>
      </c>
      <c r="D23" s="3">
        <f t="shared" si="8"/>
        <v>0</v>
      </c>
      <c r="E23" s="3">
        <f t="shared" si="7"/>
        <v>0</v>
      </c>
      <c r="F23" s="4">
        <f t="shared" si="9"/>
        <v>0</v>
      </c>
    </row>
    <row r="24" spans="1:6" x14ac:dyDescent="0.45">
      <c r="A24" s="2">
        <v>46721</v>
      </c>
      <c r="B24" s="7"/>
      <c r="C24" s="9">
        <f t="shared" si="5"/>
        <v>0</v>
      </c>
      <c r="D24" s="3">
        <f t="shared" si="8"/>
        <v>0</v>
      </c>
      <c r="E24" s="3">
        <f t="shared" si="7"/>
        <v>0</v>
      </c>
      <c r="F24" s="4">
        <f t="shared" si="9"/>
        <v>0</v>
      </c>
    </row>
    <row r="25" spans="1:6" x14ac:dyDescent="0.45">
      <c r="A25" s="1">
        <v>46752</v>
      </c>
      <c r="C25" s="9">
        <f t="shared" si="5"/>
        <v>0</v>
      </c>
      <c r="D25" s="3">
        <f t="shared" si="8"/>
        <v>0</v>
      </c>
      <c r="E25" s="3">
        <f t="shared" si="7"/>
        <v>0</v>
      </c>
      <c r="F25" s="4">
        <f t="shared" si="9"/>
        <v>0</v>
      </c>
    </row>
    <row r="26" spans="1:6" x14ac:dyDescent="0.45">
      <c r="A26" s="2">
        <v>46783</v>
      </c>
      <c r="B26" s="7"/>
      <c r="C26" s="9">
        <f t="shared" si="5"/>
        <v>0</v>
      </c>
      <c r="D26" s="3">
        <f t="shared" si="8"/>
        <v>0</v>
      </c>
      <c r="E26" s="3">
        <f t="shared" si="7"/>
        <v>0</v>
      </c>
      <c r="F26" s="4">
        <f t="shared" si="9"/>
        <v>0</v>
      </c>
    </row>
    <row r="27" spans="1:6" x14ac:dyDescent="0.45">
      <c r="A27" s="1">
        <v>46812</v>
      </c>
      <c r="C27" s="9">
        <f t="shared" si="5"/>
        <v>0</v>
      </c>
      <c r="D27" s="3">
        <f t="shared" si="8"/>
        <v>0</v>
      </c>
      <c r="E27" s="3">
        <f t="shared" si="7"/>
        <v>0</v>
      </c>
      <c r="F27" s="4">
        <f t="shared" si="9"/>
        <v>0</v>
      </c>
    </row>
    <row r="28" spans="1:6" x14ac:dyDescent="0.45">
      <c r="A28" s="2">
        <v>46843</v>
      </c>
      <c r="B28" s="7"/>
      <c r="C28" s="9">
        <f t="shared" si="5"/>
        <v>0</v>
      </c>
      <c r="D28" s="3">
        <f t="shared" si="8"/>
        <v>0</v>
      </c>
      <c r="E28" s="3">
        <f t="shared" si="7"/>
        <v>0</v>
      </c>
      <c r="F28" s="4">
        <f t="shared" si="9"/>
        <v>0</v>
      </c>
    </row>
    <row r="29" spans="1:6" x14ac:dyDescent="0.45">
      <c r="A29" s="1">
        <v>46873</v>
      </c>
      <c r="C29" s="9">
        <f t="shared" si="5"/>
        <v>0</v>
      </c>
      <c r="D29" s="3">
        <f t="shared" si="8"/>
        <v>0</v>
      </c>
      <c r="E29" s="3">
        <f t="shared" si="7"/>
        <v>0</v>
      </c>
      <c r="F29" s="4">
        <f t="shared" si="9"/>
        <v>0</v>
      </c>
    </row>
    <row r="30" spans="1:6" x14ac:dyDescent="0.45">
      <c r="A30" s="2">
        <v>46904</v>
      </c>
      <c r="B30" s="7"/>
      <c r="C30" s="9">
        <f t="shared" si="5"/>
        <v>0</v>
      </c>
      <c r="D30" s="3">
        <f t="shared" si="8"/>
        <v>0</v>
      </c>
      <c r="E30" s="3">
        <f t="shared" si="7"/>
        <v>0</v>
      </c>
      <c r="F30" s="4">
        <f t="shared" si="9"/>
        <v>0</v>
      </c>
    </row>
    <row r="31" spans="1:6" x14ac:dyDescent="0.45">
      <c r="A31" s="1">
        <v>46934</v>
      </c>
      <c r="C31" s="9">
        <f t="shared" si="5"/>
        <v>0</v>
      </c>
      <c r="D31" s="3">
        <f t="shared" si="8"/>
        <v>0</v>
      </c>
      <c r="E31" s="3">
        <f t="shared" si="7"/>
        <v>0</v>
      </c>
      <c r="F31" s="4">
        <f t="shared" si="9"/>
        <v>0</v>
      </c>
    </row>
    <row r="32" spans="1:6" x14ac:dyDescent="0.45">
      <c r="A32" s="2">
        <v>46965</v>
      </c>
      <c r="B32" s="7"/>
      <c r="C32" s="9">
        <f t="shared" si="5"/>
        <v>0</v>
      </c>
      <c r="D32" s="3">
        <f t="shared" si="8"/>
        <v>0</v>
      </c>
      <c r="E32" s="3">
        <f t="shared" si="7"/>
        <v>0</v>
      </c>
      <c r="F32" s="4">
        <f t="shared" si="9"/>
        <v>0</v>
      </c>
    </row>
    <row r="33" spans="1:6" x14ac:dyDescent="0.45">
      <c r="A33" s="1">
        <v>46996</v>
      </c>
      <c r="C33" s="9">
        <f t="shared" si="5"/>
        <v>0</v>
      </c>
      <c r="D33" s="3">
        <f t="shared" si="8"/>
        <v>0</v>
      </c>
      <c r="E33" s="3">
        <f t="shared" si="7"/>
        <v>0</v>
      </c>
      <c r="F33" s="4">
        <f t="shared" si="9"/>
        <v>0</v>
      </c>
    </row>
    <row r="34" spans="1:6" x14ac:dyDescent="0.45">
      <c r="A34" s="1">
        <v>47026</v>
      </c>
      <c r="C34" s="9">
        <f t="shared" si="5"/>
        <v>0</v>
      </c>
      <c r="D34" s="3">
        <f t="shared" si="8"/>
        <v>0</v>
      </c>
      <c r="E34" s="3">
        <f t="shared" si="7"/>
        <v>0</v>
      </c>
      <c r="F34" s="4">
        <f t="shared" si="9"/>
        <v>0</v>
      </c>
    </row>
    <row r="35" spans="1:6" x14ac:dyDescent="0.45">
      <c r="A35" s="2">
        <v>47057</v>
      </c>
      <c r="B35" s="7"/>
      <c r="C35" s="9">
        <f t="shared" si="5"/>
        <v>0</v>
      </c>
      <c r="D35" s="3">
        <f t="shared" si="8"/>
        <v>0</v>
      </c>
      <c r="E35" s="3">
        <f t="shared" si="7"/>
        <v>0</v>
      </c>
      <c r="F35" s="4">
        <f t="shared" si="9"/>
        <v>0</v>
      </c>
    </row>
    <row r="36" spans="1:6" x14ac:dyDescent="0.45">
      <c r="A36" s="1">
        <v>47087</v>
      </c>
      <c r="C36" s="9">
        <f t="shared" si="5"/>
        <v>0</v>
      </c>
      <c r="D36" s="3">
        <f t="shared" ref="D36:D37" si="10">B36+C36</f>
        <v>0</v>
      </c>
      <c r="E36" s="3">
        <f t="shared" si="7"/>
        <v>0</v>
      </c>
      <c r="F36" s="4">
        <f t="shared" ref="F36:F37" si="11">D36-E36</f>
        <v>0</v>
      </c>
    </row>
    <row r="37" spans="1:6" x14ac:dyDescent="0.45">
      <c r="A37" s="2">
        <v>47118</v>
      </c>
      <c r="B37" s="7"/>
      <c r="C37" s="9">
        <f t="shared" si="5"/>
        <v>0</v>
      </c>
      <c r="D37" s="3">
        <f t="shared" si="10"/>
        <v>0</v>
      </c>
      <c r="E37" s="3">
        <f t="shared" si="7"/>
        <v>0</v>
      </c>
      <c r="F37" s="4">
        <f t="shared" si="11"/>
        <v>0</v>
      </c>
    </row>
    <row r="38" spans="1:6" x14ac:dyDescent="0.45">
      <c r="A38" s="1"/>
      <c r="C38" s="9"/>
      <c r="F38" s="4"/>
    </row>
    <row r="39" spans="1:6" x14ac:dyDescent="0.45">
      <c r="A39" s="2"/>
      <c r="B39" s="7"/>
      <c r="C39" s="9"/>
      <c r="F39" s="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73B0-6800-4A9A-9680-5F5EDBB8CE9E}">
  <dimension ref="A1:G38"/>
  <sheetViews>
    <sheetView zoomScaleNormal="100" workbookViewId="0">
      <selection activeCell="H20" sqref="H20"/>
    </sheetView>
  </sheetViews>
  <sheetFormatPr defaultRowHeight="18" x14ac:dyDescent="0.45"/>
  <cols>
    <col min="1" max="1" width="11.3984375" bestFit="1" customWidth="1"/>
    <col min="2" max="2" width="16.296875" style="14" bestFit="1" customWidth="1"/>
    <col min="3" max="3" width="11.3984375" style="14" customWidth="1"/>
    <col min="4" max="4" width="17.19921875" style="15" bestFit="1" customWidth="1"/>
    <col min="5" max="5" width="11" style="15" bestFit="1" customWidth="1"/>
    <col min="6" max="6" width="13.19921875" style="14" customWidth="1"/>
    <col min="7" max="7" width="9.8984375" style="3" customWidth="1"/>
  </cols>
  <sheetData>
    <row r="1" spans="1:7" x14ac:dyDescent="0.45">
      <c r="A1" s="5" t="s">
        <v>0</v>
      </c>
      <c r="B1" s="12" t="s">
        <v>4</v>
      </c>
      <c r="C1" s="13" t="s">
        <v>5</v>
      </c>
      <c r="D1" s="12" t="s">
        <v>3</v>
      </c>
      <c r="E1" s="12" t="s">
        <v>1</v>
      </c>
      <c r="F1" s="13" t="s">
        <v>2</v>
      </c>
      <c r="G1" s="6"/>
    </row>
    <row r="2" spans="1:7" x14ac:dyDescent="0.45">
      <c r="A2" s="1">
        <v>46053</v>
      </c>
      <c r="B2" s="6"/>
      <c r="C2" s="9">
        <f t="shared" ref="C2:C37" si="0">B2*0.1</f>
        <v>0</v>
      </c>
      <c r="D2" s="10">
        <f t="shared" ref="D2" si="1">B2+C2</f>
        <v>0</v>
      </c>
      <c r="E2" s="10">
        <f t="shared" ref="E2:E37" si="2">IF(D2&lt;=1000000,ROUNDDOWN(D2*0.1021,0),ROUNDDOWN(1000000*0.1021+(D2-1000000)*0.2042,0))</f>
        <v>0</v>
      </c>
      <c r="F2" s="11">
        <f t="shared" ref="F2" si="3">D2-E2</f>
        <v>0</v>
      </c>
    </row>
    <row r="3" spans="1:7" x14ac:dyDescent="0.45">
      <c r="A3" s="2">
        <v>46081</v>
      </c>
      <c r="B3" s="6"/>
      <c r="C3" s="9">
        <f t="shared" si="0"/>
        <v>0</v>
      </c>
      <c r="D3" s="10">
        <f t="shared" ref="D3:D6" si="4">B3+C3</f>
        <v>0</v>
      </c>
      <c r="E3" s="10">
        <f t="shared" si="2"/>
        <v>0</v>
      </c>
      <c r="F3" s="11">
        <f t="shared" ref="F3:F6" si="5">D3-E3</f>
        <v>0</v>
      </c>
    </row>
    <row r="4" spans="1:7" x14ac:dyDescent="0.45">
      <c r="A4" s="1">
        <v>46112</v>
      </c>
      <c r="B4" s="6">
        <v>1016320</v>
      </c>
      <c r="C4" s="9">
        <f t="shared" si="0"/>
        <v>101632</v>
      </c>
      <c r="D4" s="10">
        <f t="shared" si="4"/>
        <v>1117952</v>
      </c>
      <c r="E4" s="10">
        <f t="shared" si="2"/>
        <v>126185</v>
      </c>
      <c r="F4" s="11">
        <f t="shared" si="5"/>
        <v>991767</v>
      </c>
    </row>
    <row r="5" spans="1:7" x14ac:dyDescent="0.45">
      <c r="A5" s="2">
        <v>46142</v>
      </c>
      <c r="B5" s="6">
        <v>849560</v>
      </c>
      <c r="C5" s="9">
        <f t="shared" si="0"/>
        <v>84956</v>
      </c>
      <c r="D5" s="10">
        <f t="shared" si="4"/>
        <v>934516</v>
      </c>
      <c r="E5" s="10">
        <f t="shared" si="2"/>
        <v>95414</v>
      </c>
      <c r="F5" s="11">
        <f t="shared" si="5"/>
        <v>839102</v>
      </c>
    </row>
    <row r="6" spans="1:7" x14ac:dyDescent="0.45">
      <c r="A6" s="1">
        <v>46173</v>
      </c>
      <c r="B6" s="6">
        <v>784080</v>
      </c>
      <c r="C6" s="9">
        <f t="shared" si="0"/>
        <v>78408</v>
      </c>
      <c r="D6" s="10">
        <f t="shared" si="4"/>
        <v>862488</v>
      </c>
      <c r="E6" s="10">
        <f t="shared" si="2"/>
        <v>88060</v>
      </c>
      <c r="F6" s="11">
        <f t="shared" si="5"/>
        <v>774428</v>
      </c>
    </row>
    <row r="7" spans="1:7" x14ac:dyDescent="0.45">
      <c r="A7" s="2">
        <v>46203</v>
      </c>
      <c r="B7" s="6">
        <v>641280</v>
      </c>
      <c r="C7" s="9">
        <f t="shared" si="0"/>
        <v>64128</v>
      </c>
      <c r="D7" s="10">
        <f t="shared" ref="D7:D18" si="6">B7+C7</f>
        <v>705408</v>
      </c>
      <c r="E7" s="10">
        <f t="shared" si="2"/>
        <v>72022</v>
      </c>
      <c r="F7" s="11">
        <f t="shared" ref="F7:F18" si="7">D7-E7</f>
        <v>633386</v>
      </c>
    </row>
    <row r="8" spans="1:7" x14ac:dyDescent="0.45">
      <c r="A8" s="1">
        <v>46234</v>
      </c>
      <c r="B8" s="6">
        <v>1366480</v>
      </c>
      <c r="C8" s="9">
        <f t="shared" si="0"/>
        <v>136648</v>
      </c>
      <c r="D8" s="10">
        <f t="shared" si="6"/>
        <v>1503128</v>
      </c>
      <c r="E8" s="10">
        <f t="shared" si="2"/>
        <v>204838</v>
      </c>
      <c r="F8" s="11">
        <f t="shared" si="7"/>
        <v>1298290</v>
      </c>
    </row>
    <row r="9" spans="1:7" x14ac:dyDescent="0.45">
      <c r="A9" s="16">
        <v>46265</v>
      </c>
      <c r="B9" s="6">
        <v>0</v>
      </c>
      <c r="C9" s="17">
        <f t="shared" si="0"/>
        <v>0</v>
      </c>
      <c r="D9" s="18">
        <f t="shared" si="6"/>
        <v>0</v>
      </c>
      <c r="E9" s="18">
        <f>IF(D9&lt;=1000000,ROUNDDOWN(D9*0.1021,0),ROUNDDOWN(1000000*0.1021+(D9-1000000)*0.2042,0))</f>
        <v>0</v>
      </c>
      <c r="F9" s="19">
        <f t="shared" si="7"/>
        <v>0</v>
      </c>
    </row>
    <row r="10" spans="1:7" x14ac:dyDescent="0.45">
      <c r="A10" s="2">
        <v>46295</v>
      </c>
      <c r="B10" s="6"/>
      <c r="C10" s="9">
        <f t="shared" si="0"/>
        <v>0</v>
      </c>
      <c r="D10" s="10">
        <f t="shared" si="6"/>
        <v>0</v>
      </c>
      <c r="E10" s="10">
        <f t="shared" si="2"/>
        <v>0</v>
      </c>
      <c r="F10" s="11">
        <f t="shared" si="7"/>
        <v>0</v>
      </c>
    </row>
    <row r="11" spans="1:7" x14ac:dyDescent="0.45">
      <c r="A11" s="1">
        <v>46326</v>
      </c>
      <c r="B11" s="6"/>
      <c r="C11" s="9">
        <f t="shared" si="0"/>
        <v>0</v>
      </c>
      <c r="D11" s="10">
        <f t="shared" si="6"/>
        <v>0</v>
      </c>
      <c r="E11" s="10">
        <f t="shared" si="2"/>
        <v>0</v>
      </c>
      <c r="F11" s="11">
        <f t="shared" si="7"/>
        <v>0</v>
      </c>
    </row>
    <row r="12" spans="1:7" x14ac:dyDescent="0.45">
      <c r="A12" s="2">
        <v>46356</v>
      </c>
      <c r="B12" s="6"/>
      <c r="C12" s="9">
        <f t="shared" si="0"/>
        <v>0</v>
      </c>
      <c r="D12" s="10">
        <f t="shared" si="6"/>
        <v>0</v>
      </c>
      <c r="E12" s="10">
        <f t="shared" si="2"/>
        <v>0</v>
      </c>
      <c r="F12" s="11">
        <f t="shared" si="7"/>
        <v>0</v>
      </c>
    </row>
    <row r="13" spans="1:7" x14ac:dyDescent="0.45">
      <c r="A13" s="2">
        <v>46387</v>
      </c>
      <c r="B13" s="6"/>
      <c r="C13" s="9">
        <f t="shared" si="0"/>
        <v>0</v>
      </c>
      <c r="D13" s="10">
        <f t="shared" si="6"/>
        <v>0</v>
      </c>
      <c r="E13" s="10">
        <f t="shared" si="2"/>
        <v>0</v>
      </c>
      <c r="F13" s="11">
        <f t="shared" si="7"/>
        <v>0</v>
      </c>
    </row>
    <row r="14" spans="1:7" x14ac:dyDescent="0.45">
      <c r="A14" s="1">
        <v>46418</v>
      </c>
      <c r="B14" s="6"/>
      <c r="C14" s="9">
        <f t="shared" si="0"/>
        <v>0</v>
      </c>
      <c r="D14" s="10">
        <f t="shared" si="6"/>
        <v>0</v>
      </c>
      <c r="E14" s="10">
        <f t="shared" si="2"/>
        <v>0</v>
      </c>
      <c r="F14" s="11">
        <f t="shared" si="7"/>
        <v>0</v>
      </c>
    </row>
    <row r="15" spans="1:7" x14ac:dyDescent="0.45">
      <c r="A15" s="2">
        <v>46446</v>
      </c>
      <c r="B15" s="6"/>
      <c r="C15" s="9">
        <f t="shared" si="0"/>
        <v>0</v>
      </c>
      <c r="D15" s="10">
        <f t="shared" si="6"/>
        <v>0</v>
      </c>
      <c r="E15" s="10">
        <f t="shared" si="2"/>
        <v>0</v>
      </c>
      <c r="F15" s="11">
        <f t="shared" si="7"/>
        <v>0</v>
      </c>
    </row>
    <row r="16" spans="1:7" x14ac:dyDescent="0.45">
      <c r="A16" s="2">
        <v>46477</v>
      </c>
      <c r="B16" s="6"/>
      <c r="C16" s="9">
        <f t="shared" si="0"/>
        <v>0</v>
      </c>
      <c r="D16" s="10">
        <f t="shared" si="6"/>
        <v>0</v>
      </c>
      <c r="E16" s="10">
        <f t="shared" si="2"/>
        <v>0</v>
      </c>
      <c r="F16" s="11">
        <f t="shared" si="7"/>
        <v>0</v>
      </c>
    </row>
    <row r="17" spans="1:6" x14ac:dyDescent="0.45">
      <c r="A17" s="1">
        <v>46507</v>
      </c>
      <c r="B17" s="6"/>
      <c r="C17" s="9">
        <f t="shared" si="0"/>
        <v>0</v>
      </c>
      <c r="D17" s="10">
        <f t="shared" si="6"/>
        <v>0</v>
      </c>
      <c r="E17" s="10">
        <f t="shared" si="2"/>
        <v>0</v>
      </c>
      <c r="F17" s="11">
        <f t="shared" si="7"/>
        <v>0</v>
      </c>
    </row>
    <row r="18" spans="1:6" x14ac:dyDescent="0.45">
      <c r="A18" s="2">
        <v>46538</v>
      </c>
      <c r="B18" s="6"/>
      <c r="C18" s="9">
        <f t="shared" si="0"/>
        <v>0</v>
      </c>
      <c r="D18" s="10">
        <f t="shared" si="6"/>
        <v>0</v>
      </c>
      <c r="E18" s="10">
        <f t="shared" si="2"/>
        <v>0</v>
      </c>
      <c r="F18" s="11">
        <f t="shared" si="7"/>
        <v>0</v>
      </c>
    </row>
    <row r="19" spans="1:6" x14ac:dyDescent="0.45">
      <c r="A19" s="1">
        <v>46568</v>
      </c>
      <c r="B19" s="6"/>
      <c r="C19" s="9">
        <f t="shared" si="0"/>
        <v>0</v>
      </c>
      <c r="D19" s="10">
        <f t="shared" ref="D19:D37" si="8">B19+C19</f>
        <v>0</v>
      </c>
      <c r="E19" s="10">
        <f t="shared" si="2"/>
        <v>0</v>
      </c>
      <c r="F19" s="11">
        <f t="shared" ref="F19:F37" si="9">D19-E19</f>
        <v>0</v>
      </c>
    </row>
    <row r="20" spans="1:6" x14ac:dyDescent="0.45">
      <c r="A20" s="2">
        <v>46599</v>
      </c>
      <c r="B20" s="6"/>
      <c r="C20" s="9">
        <f t="shared" si="0"/>
        <v>0</v>
      </c>
      <c r="D20" s="10">
        <f t="shared" si="8"/>
        <v>0</v>
      </c>
      <c r="E20" s="10">
        <f t="shared" si="2"/>
        <v>0</v>
      </c>
      <c r="F20" s="11">
        <f t="shared" si="9"/>
        <v>0</v>
      </c>
    </row>
    <row r="21" spans="1:6" x14ac:dyDescent="0.45">
      <c r="A21" s="1">
        <v>46630</v>
      </c>
      <c r="B21" s="6"/>
      <c r="C21" s="9">
        <f t="shared" si="0"/>
        <v>0</v>
      </c>
      <c r="D21" s="10">
        <f t="shared" si="8"/>
        <v>0</v>
      </c>
      <c r="E21" s="10">
        <f t="shared" si="2"/>
        <v>0</v>
      </c>
      <c r="F21" s="11">
        <f t="shared" si="9"/>
        <v>0</v>
      </c>
    </row>
    <row r="22" spans="1:6" x14ac:dyDescent="0.45">
      <c r="A22" s="2">
        <v>46660</v>
      </c>
      <c r="B22" s="6"/>
      <c r="C22" s="9">
        <f t="shared" si="0"/>
        <v>0</v>
      </c>
      <c r="D22" s="10">
        <f t="shared" si="8"/>
        <v>0</v>
      </c>
      <c r="E22" s="10">
        <f t="shared" si="2"/>
        <v>0</v>
      </c>
      <c r="F22" s="11">
        <f t="shared" si="9"/>
        <v>0</v>
      </c>
    </row>
    <row r="23" spans="1:6" x14ac:dyDescent="0.45">
      <c r="A23" s="1">
        <v>46691</v>
      </c>
      <c r="B23" s="6"/>
      <c r="C23" s="9">
        <f t="shared" si="0"/>
        <v>0</v>
      </c>
      <c r="D23" s="10">
        <f t="shared" si="8"/>
        <v>0</v>
      </c>
      <c r="E23" s="10">
        <f t="shared" si="2"/>
        <v>0</v>
      </c>
      <c r="F23" s="11">
        <f t="shared" si="9"/>
        <v>0</v>
      </c>
    </row>
    <row r="24" spans="1:6" x14ac:dyDescent="0.45">
      <c r="A24" s="2">
        <v>46721</v>
      </c>
      <c r="B24" s="6"/>
      <c r="C24" s="9">
        <f t="shared" si="0"/>
        <v>0</v>
      </c>
      <c r="D24" s="10">
        <f t="shared" si="8"/>
        <v>0</v>
      </c>
      <c r="E24" s="10">
        <f t="shared" si="2"/>
        <v>0</v>
      </c>
      <c r="F24" s="11">
        <f t="shared" si="9"/>
        <v>0</v>
      </c>
    </row>
    <row r="25" spans="1:6" x14ac:dyDescent="0.45">
      <c r="A25" s="1">
        <v>46752</v>
      </c>
      <c r="B25" s="6"/>
      <c r="C25" s="9">
        <f t="shared" si="0"/>
        <v>0</v>
      </c>
      <c r="D25" s="10">
        <f t="shared" si="8"/>
        <v>0</v>
      </c>
      <c r="E25" s="10">
        <f t="shared" si="2"/>
        <v>0</v>
      </c>
      <c r="F25" s="11">
        <f t="shared" si="9"/>
        <v>0</v>
      </c>
    </row>
    <row r="26" spans="1:6" x14ac:dyDescent="0.45">
      <c r="A26" s="2">
        <v>46783</v>
      </c>
      <c r="B26" s="6"/>
      <c r="C26" s="9">
        <f t="shared" si="0"/>
        <v>0</v>
      </c>
      <c r="D26" s="10">
        <f t="shared" si="8"/>
        <v>0</v>
      </c>
      <c r="E26" s="10">
        <f t="shared" si="2"/>
        <v>0</v>
      </c>
      <c r="F26" s="11">
        <f t="shared" si="9"/>
        <v>0</v>
      </c>
    </row>
    <row r="27" spans="1:6" x14ac:dyDescent="0.45">
      <c r="A27" s="1">
        <v>46812</v>
      </c>
      <c r="B27" s="6"/>
      <c r="C27" s="9">
        <f t="shared" si="0"/>
        <v>0</v>
      </c>
      <c r="D27" s="10">
        <f t="shared" si="8"/>
        <v>0</v>
      </c>
      <c r="E27" s="10">
        <f t="shared" si="2"/>
        <v>0</v>
      </c>
      <c r="F27" s="11">
        <f t="shared" si="9"/>
        <v>0</v>
      </c>
    </row>
    <row r="28" spans="1:6" x14ac:dyDescent="0.45">
      <c r="A28" s="2">
        <v>46843</v>
      </c>
      <c r="B28" s="6"/>
      <c r="C28" s="9">
        <f t="shared" si="0"/>
        <v>0</v>
      </c>
      <c r="D28" s="10">
        <f t="shared" si="8"/>
        <v>0</v>
      </c>
      <c r="E28" s="10">
        <f t="shared" si="2"/>
        <v>0</v>
      </c>
      <c r="F28" s="11">
        <f t="shared" si="9"/>
        <v>0</v>
      </c>
    </row>
    <row r="29" spans="1:6" x14ac:dyDescent="0.45">
      <c r="A29" s="1">
        <v>46873</v>
      </c>
      <c r="B29" s="6"/>
      <c r="C29" s="9">
        <f t="shared" si="0"/>
        <v>0</v>
      </c>
      <c r="D29" s="10">
        <f t="shared" si="8"/>
        <v>0</v>
      </c>
      <c r="E29" s="10">
        <f t="shared" si="2"/>
        <v>0</v>
      </c>
      <c r="F29" s="11">
        <f t="shared" si="9"/>
        <v>0</v>
      </c>
    </row>
    <row r="30" spans="1:6" x14ac:dyDescent="0.45">
      <c r="A30" s="2">
        <v>46904</v>
      </c>
      <c r="B30" s="6"/>
      <c r="C30" s="9">
        <f t="shared" si="0"/>
        <v>0</v>
      </c>
      <c r="D30" s="10">
        <f t="shared" si="8"/>
        <v>0</v>
      </c>
      <c r="E30" s="10">
        <f t="shared" si="2"/>
        <v>0</v>
      </c>
      <c r="F30" s="11">
        <f t="shared" si="9"/>
        <v>0</v>
      </c>
    </row>
    <row r="31" spans="1:6" x14ac:dyDescent="0.45">
      <c r="A31" s="1">
        <v>46934</v>
      </c>
      <c r="B31" s="6"/>
      <c r="C31" s="9">
        <f t="shared" si="0"/>
        <v>0</v>
      </c>
      <c r="D31" s="10">
        <f t="shared" si="8"/>
        <v>0</v>
      </c>
      <c r="E31" s="10">
        <f t="shared" si="2"/>
        <v>0</v>
      </c>
      <c r="F31" s="11">
        <f t="shared" si="9"/>
        <v>0</v>
      </c>
    </row>
    <row r="32" spans="1:6" x14ac:dyDescent="0.45">
      <c r="A32" s="2">
        <v>46965</v>
      </c>
      <c r="B32" s="6"/>
      <c r="C32" s="9">
        <f t="shared" si="0"/>
        <v>0</v>
      </c>
      <c r="D32" s="10">
        <f t="shared" si="8"/>
        <v>0</v>
      </c>
      <c r="E32" s="10">
        <f t="shared" si="2"/>
        <v>0</v>
      </c>
      <c r="F32" s="11">
        <f t="shared" si="9"/>
        <v>0</v>
      </c>
    </row>
    <row r="33" spans="1:6" x14ac:dyDescent="0.45">
      <c r="A33" s="1">
        <v>46996</v>
      </c>
      <c r="B33" s="6"/>
      <c r="C33" s="9">
        <f t="shared" si="0"/>
        <v>0</v>
      </c>
      <c r="D33" s="10">
        <f t="shared" si="8"/>
        <v>0</v>
      </c>
      <c r="E33" s="10">
        <f t="shared" si="2"/>
        <v>0</v>
      </c>
      <c r="F33" s="11">
        <f t="shared" si="9"/>
        <v>0</v>
      </c>
    </row>
    <row r="34" spans="1:6" x14ac:dyDescent="0.45">
      <c r="A34" s="2">
        <v>47026</v>
      </c>
      <c r="B34" s="6"/>
      <c r="C34" s="9">
        <f t="shared" si="0"/>
        <v>0</v>
      </c>
      <c r="D34" s="10">
        <f t="shared" si="8"/>
        <v>0</v>
      </c>
      <c r="E34" s="10">
        <f t="shared" si="2"/>
        <v>0</v>
      </c>
      <c r="F34" s="11">
        <f t="shared" si="9"/>
        <v>0</v>
      </c>
    </row>
    <row r="35" spans="1:6" x14ac:dyDescent="0.45">
      <c r="A35" s="1">
        <v>47057</v>
      </c>
      <c r="B35" s="6"/>
      <c r="C35" s="9">
        <f t="shared" si="0"/>
        <v>0</v>
      </c>
      <c r="D35" s="10">
        <f t="shared" si="8"/>
        <v>0</v>
      </c>
      <c r="E35" s="10">
        <f t="shared" si="2"/>
        <v>0</v>
      </c>
      <c r="F35" s="11">
        <f t="shared" si="9"/>
        <v>0</v>
      </c>
    </row>
    <row r="36" spans="1:6" x14ac:dyDescent="0.45">
      <c r="A36" s="2">
        <v>47087</v>
      </c>
      <c r="B36" s="6"/>
      <c r="C36" s="9">
        <f t="shared" si="0"/>
        <v>0</v>
      </c>
      <c r="D36" s="10">
        <f t="shared" si="8"/>
        <v>0</v>
      </c>
      <c r="E36" s="10">
        <f t="shared" si="2"/>
        <v>0</v>
      </c>
      <c r="F36" s="11">
        <f t="shared" si="9"/>
        <v>0</v>
      </c>
    </row>
    <row r="37" spans="1:6" x14ac:dyDescent="0.45">
      <c r="A37" s="1">
        <v>47118</v>
      </c>
      <c r="B37" s="6"/>
      <c r="C37" s="9">
        <f t="shared" si="0"/>
        <v>0</v>
      </c>
      <c r="D37" s="10">
        <f t="shared" si="8"/>
        <v>0</v>
      </c>
      <c r="E37" s="10">
        <f t="shared" si="2"/>
        <v>0</v>
      </c>
      <c r="F37" s="11">
        <f t="shared" si="9"/>
        <v>0</v>
      </c>
    </row>
    <row r="38" spans="1:6" x14ac:dyDescent="0.45">
      <c r="A38" s="2"/>
      <c r="B38" s="6"/>
      <c r="C38" s="9"/>
      <c r="D38" s="10"/>
      <c r="E38" s="10"/>
      <c r="F38" s="1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3A14-80EC-4C68-8D85-C4C6965EA561}">
  <dimension ref="A1:G38"/>
  <sheetViews>
    <sheetView workbookViewId="0">
      <selection activeCell="G1" sqref="G1:G9"/>
    </sheetView>
  </sheetViews>
  <sheetFormatPr defaultRowHeight="18" x14ac:dyDescent="0.45"/>
  <cols>
    <col min="1" max="1" width="11.3984375" bestFit="1" customWidth="1"/>
    <col min="2" max="2" width="16.796875" customWidth="1"/>
    <col min="3" max="3" width="11" customWidth="1"/>
    <col min="4" max="4" width="17.5" bestFit="1" customWidth="1"/>
    <col min="5" max="5" width="13.69921875" bestFit="1" customWidth="1"/>
    <col min="6" max="6" width="9.5" bestFit="1" customWidth="1"/>
    <col min="7" max="7" width="17.5" style="3" bestFit="1" customWidth="1"/>
  </cols>
  <sheetData>
    <row r="1" spans="1:7" x14ac:dyDescent="0.45">
      <c r="A1" s="5" t="s">
        <v>0</v>
      </c>
      <c r="B1" s="6" t="s">
        <v>4</v>
      </c>
      <c r="C1" s="6" t="s">
        <v>5</v>
      </c>
      <c r="D1" s="6" t="s">
        <v>3</v>
      </c>
      <c r="E1" s="6" t="s">
        <v>1</v>
      </c>
      <c r="F1" s="5" t="s">
        <v>2</v>
      </c>
      <c r="G1" s="6"/>
    </row>
    <row r="2" spans="1:7" x14ac:dyDescent="0.45">
      <c r="A2" s="1">
        <v>46053</v>
      </c>
      <c r="B2" s="6">
        <v>708360</v>
      </c>
      <c r="C2" s="9">
        <f>B2*0.1</f>
        <v>70836</v>
      </c>
      <c r="D2" s="10">
        <f>B2+C2</f>
        <v>779196</v>
      </c>
      <c r="E2" s="10">
        <f t="shared" ref="E2:E37" si="0">IF(B2&lt;=1000000,ROUNDUP(B2*0.1021,0),ROUNDUP(1000000*0.1021+(B2-1000000)*0.2042,0))</f>
        <v>72324</v>
      </c>
      <c r="F2" s="11">
        <f t="shared" ref="F2" si="1">D2-E2</f>
        <v>706872</v>
      </c>
    </row>
    <row r="3" spans="1:7" x14ac:dyDescent="0.45">
      <c r="A3" s="2">
        <v>46081</v>
      </c>
      <c r="B3" s="6">
        <v>743130</v>
      </c>
      <c r="C3" s="9">
        <f t="shared" ref="C3:C37" si="2">B3*0.1</f>
        <v>74313</v>
      </c>
      <c r="D3" s="10">
        <f t="shared" ref="D3:D18" si="3">B3+C3</f>
        <v>817443</v>
      </c>
      <c r="E3" s="10">
        <f t="shared" si="0"/>
        <v>75874</v>
      </c>
      <c r="F3" s="11">
        <f t="shared" ref="F3:F18" si="4">D3-E3</f>
        <v>741569</v>
      </c>
    </row>
    <row r="4" spans="1:7" x14ac:dyDescent="0.45">
      <c r="A4" s="1">
        <v>46112</v>
      </c>
      <c r="B4" s="6">
        <v>745570</v>
      </c>
      <c r="C4" s="9">
        <f t="shared" si="2"/>
        <v>74557</v>
      </c>
      <c r="D4" s="10">
        <f t="shared" si="3"/>
        <v>820127</v>
      </c>
      <c r="E4" s="10">
        <f t="shared" si="0"/>
        <v>76123</v>
      </c>
      <c r="F4" s="11">
        <f t="shared" si="4"/>
        <v>744004</v>
      </c>
    </row>
    <row r="5" spans="1:7" x14ac:dyDescent="0.45">
      <c r="A5" s="2">
        <v>46142</v>
      </c>
      <c r="B5" s="6">
        <v>776140</v>
      </c>
      <c r="C5" s="9">
        <f t="shared" si="2"/>
        <v>77614</v>
      </c>
      <c r="D5" s="10">
        <f t="shared" si="3"/>
        <v>853754</v>
      </c>
      <c r="E5" s="10">
        <f t="shared" si="0"/>
        <v>79244</v>
      </c>
      <c r="F5" s="11">
        <f t="shared" si="4"/>
        <v>774510</v>
      </c>
    </row>
    <row r="6" spans="1:7" x14ac:dyDescent="0.45">
      <c r="A6" s="1">
        <v>46173</v>
      </c>
      <c r="B6" s="6">
        <v>789430</v>
      </c>
      <c r="C6" s="9">
        <f t="shared" si="2"/>
        <v>78943</v>
      </c>
      <c r="D6" s="10">
        <f t="shared" si="3"/>
        <v>868373</v>
      </c>
      <c r="E6" s="10">
        <f t="shared" si="0"/>
        <v>80601</v>
      </c>
      <c r="F6" s="11">
        <f t="shared" si="4"/>
        <v>787772</v>
      </c>
    </row>
    <row r="7" spans="1:7" x14ac:dyDescent="0.45">
      <c r="A7" s="2">
        <v>46203</v>
      </c>
      <c r="B7" s="6">
        <v>872280</v>
      </c>
      <c r="C7" s="9">
        <f t="shared" si="2"/>
        <v>87228</v>
      </c>
      <c r="D7" s="10">
        <f t="shared" si="3"/>
        <v>959508</v>
      </c>
      <c r="E7" s="10">
        <f t="shared" si="0"/>
        <v>89060</v>
      </c>
      <c r="F7" s="11">
        <f t="shared" si="4"/>
        <v>870448</v>
      </c>
    </row>
    <row r="8" spans="1:7" x14ac:dyDescent="0.45">
      <c r="A8" s="1">
        <v>46234</v>
      </c>
      <c r="B8" s="6">
        <v>766160</v>
      </c>
      <c r="C8" s="9">
        <f t="shared" si="2"/>
        <v>76616</v>
      </c>
      <c r="D8" s="10">
        <f t="shared" si="3"/>
        <v>842776</v>
      </c>
      <c r="E8" s="10">
        <f t="shared" si="0"/>
        <v>78225</v>
      </c>
      <c r="F8" s="11">
        <f t="shared" si="4"/>
        <v>764551</v>
      </c>
    </row>
    <row r="9" spans="1:7" x14ac:dyDescent="0.45">
      <c r="A9" s="2">
        <v>46265</v>
      </c>
      <c r="B9" s="6">
        <v>703228</v>
      </c>
      <c r="C9" s="9">
        <f t="shared" si="2"/>
        <v>70322.8</v>
      </c>
      <c r="D9" s="10">
        <f t="shared" si="3"/>
        <v>773550.8</v>
      </c>
      <c r="E9" s="10">
        <f>IF(B9&lt;=1000000,ROUNDUP(B9*0.1021,0),ROUNDUP(1000000*0.1021+(B9-1000000)*0.2042,0))</f>
        <v>71800</v>
      </c>
      <c r="F9" s="21">
        <f t="shared" si="4"/>
        <v>701750.8</v>
      </c>
    </row>
    <row r="10" spans="1:7" x14ac:dyDescent="0.45">
      <c r="A10" s="2">
        <v>46295</v>
      </c>
      <c r="B10" s="6"/>
      <c r="C10" s="9">
        <f t="shared" si="2"/>
        <v>0</v>
      </c>
      <c r="D10" s="10">
        <f t="shared" si="3"/>
        <v>0</v>
      </c>
      <c r="E10" s="10">
        <f t="shared" si="0"/>
        <v>0</v>
      </c>
      <c r="F10" s="11">
        <f t="shared" si="4"/>
        <v>0</v>
      </c>
    </row>
    <row r="11" spans="1:7" x14ac:dyDescent="0.45">
      <c r="A11" s="1">
        <v>46326</v>
      </c>
      <c r="B11" s="6"/>
      <c r="C11" s="9">
        <f t="shared" si="2"/>
        <v>0</v>
      </c>
      <c r="D11" s="10">
        <f t="shared" si="3"/>
        <v>0</v>
      </c>
      <c r="E11" s="10">
        <f t="shared" si="0"/>
        <v>0</v>
      </c>
      <c r="F11" s="11">
        <f t="shared" si="4"/>
        <v>0</v>
      </c>
    </row>
    <row r="12" spans="1:7" x14ac:dyDescent="0.45">
      <c r="A12" s="2">
        <v>46356</v>
      </c>
      <c r="B12" s="6"/>
      <c r="C12" s="9">
        <f t="shared" si="2"/>
        <v>0</v>
      </c>
      <c r="D12" s="10">
        <f t="shared" si="3"/>
        <v>0</v>
      </c>
      <c r="E12" s="10">
        <f t="shared" si="0"/>
        <v>0</v>
      </c>
      <c r="F12" s="11">
        <f t="shared" si="4"/>
        <v>0</v>
      </c>
    </row>
    <row r="13" spans="1:7" x14ac:dyDescent="0.45">
      <c r="A13" s="2">
        <v>46387</v>
      </c>
      <c r="B13" s="6"/>
      <c r="C13" s="9">
        <f t="shared" si="2"/>
        <v>0</v>
      </c>
      <c r="D13" s="10">
        <f t="shared" si="3"/>
        <v>0</v>
      </c>
      <c r="E13" s="10">
        <f t="shared" si="0"/>
        <v>0</v>
      </c>
      <c r="F13" s="11">
        <f t="shared" si="4"/>
        <v>0</v>
      </c>
    </row>
    <row r="14" spans="1:7" x14ac:dyDescent="0.45">
      <c r="A14" s="1">
        <v>46418</v>
      </c>
      <c r="B14" s="6"/>
      <c r="C14" s="9">
        <f t="shared" si="2"/>
        <v>0</v>
      </c>
      <c r="D14" s="10">
        <f t="shared" si="3"/>
        <v>0</v>
      </c>
      <c r="E14" s="10">
        <f t="shared" si="0"/>
        <v>0</v>
      </c>
      <c r="F14" s="11">
        <f t="shared" si="4"/>
        <v>0</v>
      </c>
    </row>
    <row r="15" spans="1:7" x14ac:dyDescent="0.45">
      <c r="A15" s="2">
        <v>46446</v>
      </c>
      <c r="B15" s="6"/>
      <c r="C15" s="9">
        <f t="shared" si="2"/>
        <v>0</v>
      </c>
      <c r="D15" s="10">
        <f t="shared" si="3"/>
        <v>0</v>
      </c>
      <c r="E15" s="10">
        <f t="shared" si="0"/>
        <v>0</v>
      </c>
      <c r="F15" s="11">
        <f t="shared" si="4"/>
        <v>0</v>
      </c>
    </row>
    <row r="16" spans="1:7" x14ac:dyDescent="0.45">
      <c r="A16" s="2">
        <v>46477</v>
      </c>
      <c r="B16" s="6"/>
      <c r="C16" s="9">
        <f t="shared" si="2"/>
        <v>0</v>
      </c>
      <c r="D16" s="10">
        <f t="shared" si="3"/>
        <v>0</v>
      </c>
      <c r="E16" s="10">
        <f t="shared" si="0"/>
        <v>0</v>
      </c>
      <c r="F16" s="11">
        <f t="shared" si="4"/>
        <v>0</v>
      </c>
    </row>
    <row r="17" spans="1:6" x14ac:dyDescent="0.45">
      <c r="A17" s="1">
        <v>46507</v>
      </c>
      <c r="B17" s="6"/>
      <c r="C17" s="9">
        <f t="shared" si="2"/>
        <v>0</v>
      </c>
      <c r="D17" s="10">
        <f t="shared" si="3"/>
        <v>0</v>
      </c>
      <c r="E17" s="10">
        <f t="shared" si="0"/>
        <v>0</v>
      </c>
      <c r="F17" s="11">
        <f t="shared" si="4"/>
        <v>0</v>
      </c>
    </row>
    <row r="18" spans="1:6" x14ac:dyDescent="0.45">
      <c r="A18" s="2">
        <v>46538</v>
      </c>
      <c r="B18" s="6"/>
      <c r="C18" s="9">
        <f t="shared" si="2"/>
        <v>0</v>
      </c>
      <c r="D18" s="10">
        <f t="shared" si="3"/>
        <v>0</v>
      </c>
      <c r="E18" s="10">
        <f t="shared" si="0"/>
        <v>0</v>
      </c>
      <c r="F18" s="11">
        <f t="shared" si="4"/>
        <v>0</v>
      </c>
    </row>
    <row r="19" spans="1:6" x14ac:dyDescent="0.45">
      <c r="A19" s="1">
        <v>46568</v>
      </c>
      <c r="B19" s="6"/>
      <c r="C19" s="9">
        <f t="shared" si="2"/>
        <v>0</v>
      </c>
      <c r="D19" s="10">
        <f t="shared" ref="D19:D37" si="5">B19+C19</f>
        <v>0</v>
      </c>
      <c r="E19" s="10">
        <f t="shared" si="0"/>
        <v>0</v>
      </c>
      <c r="F19" s="11">
        <f t="shared" ref="F19:F37" si="6">D19-E19</f>
        <v>0</v>
      </c>
    </row>
    <row r="20" spans="1:6" x14ac:dyDescent="0.45">
      <c r="A20" s="2">
        <v>46599</v>
      </c>
      <c r="B20" s="6"/>
      <c r="C20" s="9">
        <f t="shared" si="2"/>
        <v>0</v>
      </c>
      <c r="D20" s="10">
        <f t="shared" si="5"/>
        <v>0</v>
      </c>
      <c r="E20" s="10">
        <f t="shared" si="0"/>
        <v>0</v>
      </c>
      <c r="F20" s="11">
        <f t="shared" si="6"/>
        <v>0</v>
      </c>
    </row>
    <row r="21" spans="1:6" x14ac:dyDescent="0.45">
      <c r="A21" s="1">
        <v>46630</v>
      </c>
      <c r="B21" s="6"/>
      <c r="C21" s="9">
        <f t="shared" si="2"/>
        <v>0</v>
      </c>
      <c r="D21" s="10">
        <f t="shared" si="5"/>
        <v>0</v>
      </c>
      <c r="E21" s="10">
        <f t="shared" si="0"/>
        <v>0</v>
      </c>
      <c r="F21" s="11">
        <f t="shared" si="6"/>
        <v>0</v>
      </c>
    </row>
    <row r="22" spans="1:6" x14ac:dyDescent="0.45">
      <c r="A22" s="2">
        <v>46660</v>
      </c>
      <c r="B22" s="6"/>
      <c r="C22" s="9">
        <f t="shared" si="2"/>
        <v>0</v>
      </c>
      <c r="D22" s="10">
        <f t="shared" si="5"/>
        <v>0</v>
      </c>
      <c r="E22" s="10">
        <f t="shared" si="0"/>
        <v>0</v>
      </c>
      <c r="F22" s="11">
        <f t="shared" si="6"/>
        <v>0</v>
      </c>
    </row>
    <row r="23" spans="1:6" x14ac:dyDescent="0.45">
      <c r="A23" s="1">
        <v>46691</v>
      </c>
      <c r="B23" s="6"/>
      <c r="C23" s="9">
        <f t="shared" si="2"/>
        <v>0</v>
      </c>
      <c r="D23" s="10">
        <f t="shared" si="5"/>
        <v>0</v>
      </c>
      <c r="E23" s="10">
        <f t="shared" si="0"/>
        <v>0</v>
      </c>
      <c r="F23" s="11">
        <f t="shared" si="6"/>
        <v>0</v>
      </c>
    </row>
    <row r="24" spans="1:6" x14ac:dyDescent="0.45">
      <c r="A24" s="2">
        <v>46721</v>
      </c>
      <c r="B24" s="6"/>
      <c r="C24" s="9">
        <f t="shared" si="2"/>
        <v>0</v>
      </c>
      <c r="D24" s="10">
        <f t="shared" si="5"/>
        <v>0</v>
      </c>
      <c r="E24" s="10">
        <f t="shared" si="0"/>
        <v>0</v>
      </c>
      <c r="F24" s="11">
        <f t="shared" si="6"/>
        <v>0</v>
      </c>
    </row>
    <row r="25" spans="1:6" x14ac:dyDescent="0.45">
      <c r="A25" s="1">
        <v>46752</v>
      </c>
      <c r="B25" s="6"/>
      <c r="C25" s="9">
        <f t="shared" si="2"/>
        <v>0</v>
      </c>
      <c r="D25" s="10">
        <f t="shared" si="5"/>
        <v>0</v>
      </c>
      <c r="E25" s="10">
        <f t="shared" si="0"/>
        <v>0</v>
      </c>
      <c r="F25" s="11">
        <f t="shared" si="6"/>
        <v>0</v>
      </c>
    </row>
    <row r="26" spans="1:6" x14ac:dyDescent="0.45">
      <c r="A26" s="2">
        <v>46783</v>
      </c>
      <c r="B26" s="6"/>
      <c r="C26" s="9">
        <f t="shared" si="2"/>
        <v>0</v>
      </c>
      <c r="D26" s="10">
        <f t="shared" si="5"/>
        <v>0</v>
      </c>
      <c r="E26" s="10">
        <f t="shared" si="0"/>
        <v>0</v>
      </c>
      <c r="F26" s="11">
        <f t="shared" si="6"/>
        <v>0</v>
      </c>
    </row>
    <row r="27" spans="1:6" x14ac:dyDescent="0.45">
      <c r="A27" s="1">
        <v>46812</v>
      </c>
      <c r="B27" s="6"/>
      <c r="C27" s="9">
        <f t="shared" si="2"/>
        <v>0</v>
      </c>
      <c r="D27" s="10">
        <f t="shared" si="5"/>
        <v>0</v>
      </c>
      <c r="E27" s="10">
        <f t="shared" si="0"/>
        <v>0</v>
      </c>
      <c r="F27" s="11">
        <f t="shared" si="6"/>
        <v>0</v>
      </c>
    </row>
    <row r="28" spans="1:6" x14ac:dyDescent="0.45">
      <c r="A28" s="2">
        <v>46843</v>
      </c>
      <c r="B28" s="6"/>
      <c r="C28" s="9">
        <f t="shared" si="2"/>
        <v>0</v>
      </c>
      <c r="D28" s="10">
        <f t="shared" si="5"/>
        <v>0</v>
      </c>
      <c r="E28" s="10">
        <f t="shared" si="0"/>
        <v>0</v>
      </c>
      <c r="F28" s="11">
        <f t="shared" si="6"/>
        <v>0</v>
      </c>
    </row>
    <row r="29" spans="1:6" x14ac:dyDescent="0.45">
      <c r="A29" s="1">
        <v>46873</v>
      </c>
      <c r="B29" s="6"/>
      <c r="C29" s="9">
        <f t="shared" si="2"/>
        <v>0</v>
      </c>
      <c r="D29" s="10">
        <f t="shared" si="5"/>
        <v>0</v>
      </c>
      <c r="E29" s="10">
        <f t="shared" si="0"/>
        <v>0</v>
      </c>
      <c r="F29" s="11">
        <f t="shared" si="6"/>
        <v>0</v>
      </c>
    </row>
    <row r="30" spans="1:6" x14ac:dyDescent="0.45">
      <c r="A30" s="2">
        <v>46904</v>
      </c>
      <c r="B30" s="6"/>
      <c r="C30" s="9">
        <f t="shared" si="2"/>
        <v>0</v>
      </c>
      <c r="D30" s="10">
        <f t="shared" si="5"/>
        <v>0</v>
      </c>
      <c r="E30" s="10">
        <f t="shared" si="0"/>
        <v>0</v>
      </c>
      <c r="F30" s="11">
        <f t="shared" si="6"/>
        <v>0</v>
      </c>
    </row>
    <row r="31" spans="1:6" x14ac:dyDescent="0.45">
      <c r="A31" s="1">
        <v>46934</v>
      </c>
      <c r="B31" s="6"/>
      <c r="C31" s="9">
        <f t="shared" si="2"/>
        <v>0</v>
      </c>
      <c r="D31" s="10">
        <f t="shared" si="5"/>
        <v>0</v>
      </c>
      <c r="E31" s="10">
        <f t="shared" si="0"/>
        <v>0</v>
      </c>
      <c r="F31" s="11">
        <f t="shared" si="6"/>
        <v>0</v>
      </c>
    </row>
    <row r="32" spans="1:6" x14ac:dyDescent="0.45">
      <c r="A32" s="2">
        <v>46965</v>
      </c>
      <c r="B32" s="6"/>
      <c r="C32" s="9">
        <f t="shared" si="2"/>
        <v>0</v>
      </c>
      <c r="D32" s="10">
        <f t="shared" si="5"/>
        <v>0</v>
      </c>
      <c r="E32" s="10">
        <f t="shared" si="0"/>
        <v>0</v>
      </c>
      <c r="F32" s="11">
        <f t="shared" si="6"/>
        <v>0</v>
      </c>
    </row>
    <row r="33" spans="1:6" x14ac:dyDescent="0.45">
      <c r="A33" s="1">
        <v>46996</v>
      </c>
      <c r="B33" s="6"/>
      <c r="C33" s="9">
        <f t="shared" si="2"/>
        <v>0</v>
      </c>
      <c r="D33" s="10">
        <f t="shared" si="5"/>
        <v>0</v>
      </c>
      <c r="E33" s="10">
        <f t="shared" si="0"/>
        <v>0</v>
      </c>
      <c r="F33" s="11">
        <f t="shared" si="6"/>
        <v>0</v>
      </c>
    </row>
    <row r="34" spans="1:6" x14ac:dyDescent="0.45">
      <c r="A34" s="2">
        <v>47026</v>
      </c>
      <c r="B34" s="6"/>
      <c r="C34" s="9">
        <f t="shared" si="2"/>
        <v>0</v>
      </c>
      <c r="D34" s="10">
        <f t="shared" si="5"/>
        <v>0</v>
      </c>
      <c r="E34" s="10">
        <f t="shared" si="0"/>
        <v>0</v>
      </c>
      <c r="F34" s="11">
        <f t="shared" si="6"/>
        <v>0</v>
      </c>
    </row>
    <row r="35" spans="1:6" x14ac:dyDescent="0.45">
      <c r="A35" s="1">
        <v>47057</v>
      </c>
      <c r="B35" s="6"/>
      <c r="C35" s="9">
        <f t="shared" si="2"/>
        <v>0</v>
      </c>
      <c r="D35" s="10">
        <f t="shared" si="5"/>
        <v>0</v>
      </c>
      <c r="E35" s="10">
        <f t="shared" si="0"/>
        <v>0</v>
      </c>
      <c r="F35" s="11">
        <f t="shared" si="6"/>
        <v>0</v>
      </c>
    </row>
    <row r="36" spans="1:6" x14ac:dyDescent="0.45">
      <c r="A36" s="2">
        <v>47087</v>
      </c>
      <c r="B36" s="6"/>
      <c r="C36" s="9">
        <f t="shared" si="2"/>
        <v>0</v>
      </c>
      <c r="D36" s="10">
        <f t="shared" si="5"/>
        <v>0</v>
      </c>
      <c r="E36" s="10">
        <f t="shared" si="0"/>
        <v>0</v>
      </c>
      <c r="F36" s="11">
        <f t="shared" si="6"/>
        <v>0</v>
      </c>
    </row>
    <row r="37" spans="1:6" x14ac:dyDescent="0.45">
      <c r="A37" s="1">
        <v>47118</v>
      </c>
      <c r="B37" s="6"/>
      <c r="C37" s="9">
        <f t="shared" si="2"/>
        <v>0</v>
      </c>
      <c r="D37" s="10">
        <f t="shared" si="5"/>
        <v>0</v>
      </c>
      <c r="E37" s="10">
        <f t="shared" si="0"/>
        <v>0</v>
      </c>
      <c r="F37" s="11">
        <f t="shared" si="6"/>
        <v>0</v>
      </c>
    </row>
    <row r="38" spans="1:6" x14ac:dyDescent="0.45">
      <c r="A38" s="2"/>
      <c r="B38" s="6"/>
      <c r="C38" s="9"/>
      <c r="D38" s="10"/>
      <c r="E38" s="10"/>
      <c r="F38" s="1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224F-3B6D-41D8-8F51-40C1F64713FA}">
  <dimension ref="A1:I39"/>
  <sheetViews>
    <sheetView topLeftCell="A4" workbookViewId="0">
      <selection activeCell="E9" sqref="E9"/>
    </sheetView>
  </sheetViews>
  <sheetFormatPr defaultRowHeight="18" x14ac:dyDescent="0.45"/>
  <cols>
    <col min="1" max="1" width="11.3984375" bestFit="1" customWidth="1"/>
    <col min="2" max="2" width="16.296875" style="3" bestFit="1" customWidth="1"/>
    <col min="3" max="3" width="11.3984375" style="3" customWidth="1"/>
    <col min="4" max="4" width="17.19921875" style="23" bestFit="1" customWidth="1"/>
    <col min="5" max="5" width="11" style="23" bestFit="1" customWidth="1"/>
    <col min="6" max="6" width="13.19921875" customWidth="1"/>
    <col min="7" max="7" width="16.296875" bestFit="1" customWidth="1"/>
  </cols>
  <sheetData>
    <row r="1" spans="1:9" x14ac:dyDescent="0.45">
      <c r="A1" s="5" t="s">
        <v>0</v>
      </c>
      <c r="B1" s="6" t="s">
        <v>4</v>
      </c>
      <c r="C1" s="6" t="s">
        <v>5</v>
      </c>
      <c r="D1" s="22" t="s">
        <v>3</v>
      </c>
      <c r="E1" s="22" t="s">
        <v>1</v>
      </c>
      <c r="F1" s="5" t="s">
        <v>2</v>
      </c>
      <c r="G1" s="6" t="s">
        <v>6</v>
      </c>
    </row>
    <row r="2" spans="1:9" x14ac:dyDescent="0.45">
      <c r="A2" s="20">
        <v>46053</v>
      </c>
      <c r="B2" s="6">
        <f>井坂事務所!B2+岡崎事務所!B2+綾測!B2</f>
        <v>1788760</v>
      </c>
      <c r="C2" s="6">
        <f>井坂事務所!C2+岡崎事務所!C2+綾測!C2</f>
        <v>178876</v>
      </c>
      <c r="D2" s="22">
        <f>井坂事務所!D2+岡崎事務所!D2+綾測!D2</f>
        <v>1967636</v>
      </c>
      <c r="E2" s="22">
        <f>井坂事務所!E2+岡崎事務所!E2+綾測!E2</f>
        <v>212903</v>
      </c>
      <c r="F2" s="6">
        <f>井坂事務所!F2+岡崎事務所!F2+綾測!F2</f>
        <v>1754733</v>
      </c>
      <c r="G2" s="6">
        <f>井坂事務所!G2+岡崎事務所!G2+綾測!G2</f>
        <v>1047861</v>
      </c>
    </row>
    <row r="3" spans="1:9" x14ac:dyDescent="0.45">
      <c r="A3" s="8">
        <v>46081</v>
      </c>
      <c r="B3" s="6">
        <f>井坂事務所!B3+岡崎事務所!B3+綾測!B3</f>
        <v>1942839</v>
      </c>
      <c r="C3" s="6">
        <f>井坂事務所!C3+岡崎事務所!C3+綾測!C3</f>
        <v>194283.90000000002</v>
      </c>
      <c r="D3" s="22">
        <f>井坂事務所!D3+岡崎事務所!D3+綾測!D3</f>
        <v>2137122.9</v>
      </c>
      <c r="E3" s="22">
        <f>井坂事務所!E3+岡崎事務所!E3+綾測!E3</f>
        <v>243252</v>
      </c>
      <c r="F3" s="6">
        <f>井坂事務所!F3+岡崎事務所!F3+綾測!F3</f>
        <v>1893870.9</v>
      </c>
      <c r="G3" s="6">
        <f>井坂事務所!G3+岡崎事務所!G3+綾測!G3</f>
        <v>1152302</v>
      </c>
    </row>
    <row r="4" spans="1:9" x14ac:dyDescent="0.45">
      <c r="A4" s="20">
        <v>46112</v>
      </c>
      <c r="B4" s="6">
        <f>井坂事務所!B4+岡崎事務所!B4+綾測!B4</f>
        <v>3784690</v>
      </c>
      <c r="C4" s="6">
        <f>井坂事務所!C4+岡崎事務所!C4+綾測!C4</f>
        <v>378469</v>
      </c>
      <c r="D4" s="22">
        <f>井坂事務所!D4+岡崎事務所!D4+綾測!D4</f>
        <v>4163159</v>
      </c>
      <c r="E4" s="22">
        <f>井坂事務所!E4+岡崎事務所!E4+綾測!E4</f>
        <v>554569</v>
      </c>
      <c r="F4" s="6">
        <f>井坂事務所!F4+岡崎事務所!F4+綾測!F4</f>
        <v>3608590</v>
      </c>
      <c r="G4" s="6">
        <f>井坂事務所!G4+岡崎事務所!G4+綾測!G4</f>
        <v>1872819</v>
      </c>
    </row>
    <row r="5" spans="1:9" x14ac:dyDescent="0.45">
      <c r="A5" s="8">
        <v>46142</v>
      </c>
      <c r="B5" s="6">
        <f>井坂事務所!B5+岡崎事務所!B5+綾測!B5</f>
        <v>3640900</v>
      </c>
      <c r="C5" s="6">
        <f>井坂事務所!C5+岡崎事務所!C5+綾測!C5</f>
        <v>364090</v>
      </c>
      <c r="D5" s="22">
        <f>井坂事務所!D5+岡崎事務所!D5+綾測!D5</f>
        <v>4004990</v>
      </c>
      <c r="E5" s="22">
        <f>井坂事務所!E5+岡崎事務所!E5+綾測!E5</f>
        <v>525212</v>
      </c>
      <c r="F5" s="6">
        <f>井坂事務所!F5+岡崎事務所!F5+綾測!F5</f>
        <v>3479778</v>
      </c>
      <c r="G5" s="6">
        <f>井坂事務所!G5+岡崎事務所!G5+綾測!G5</f>
        <v>1866166</v>
      </c>
    </row>
    <row r="6" spans="1:9" x14ac:dyDescent="0.45">
      <c r="A6" s="20">
        <v>46173</v>
      </c>
      <c r="B6" s="6">
        <f>井坂事務所!B6+岡崎事務所!B6+綾測!B6</f>
        <v>3660510</v>
      </c>
      <c r="C6" s="6">
        <f>井坂事務所!C6+岡崎事務所!C6+綾測!C6</f>
        <v>366051</v>
      </c>
      <c r="D6" s="22">
        <f>井坂事務所!D6+岡崎事務所!D6+綾測!D6</f>
        <v>4026561</v>
      </c>
      <c r="E6" s="22">
        <f>井坂事務所!E6+岡崎事務所!E6+綾測!E6</f>
        <v>535342</v>
      </c>
      <c r="F6" s="6">
        <f>井坂事務所!F6+岡崎事務所!F6+綾測!F6</f>
        <v>3491219</v>
      </c>
      <c r="G6" s="6">
        <f>井坂事務所!G6+岡崎事務所!G6+綾測!G6</f>
        <v>1929019</v>
      </c>
    </row>
    <row r="7" spans="1:9" x14ac:dyDescent="0.45">
      <c r="A7" s="8">
        <v>46203</v>
      </c>
      <c r="B7" s="6">
        <f>井坂事務所!B7+岡崎事務所!B7+綾測!B7</f>
        <v>3600760</v>
      </c>
      <c r="C7" s="6">
        <f>井坂事務所!C7+岡崎事務所!C7+綾測!C7</f>
        <v>360076</v>
      </c>
      <c r="D7" s="22">
        <f>井坂事務所!D7+岡崎事務所!D7+綾測!D7</f>
        <v>3960836</v>
      </c>
      <c r="E7" s="22">
        <f>井坂事務所!E7+岡崎事務所!E7+綾測!E7</f>
        <v>527808</v>
      </c>
      <c r="F7" s="6">
        <f>井坂事務所!F7+岡崎事務所!F7+綾測!F7</f>
        <v>3433028</v>
      </c>
      <c r="G7" s="6">
        <f>井坂事務所!G7+岡崎事務所!G7+綾測!G7</f>
        <v>1929194</v>
      </c>
    </row>
    <row r="8" spans="1:9" x14ac:dyDescent="0.45">
      <c r="A8" s="20">
        <v>46234</v>
      </c>
      <c r="B8" s="6">
        <f>井坂事務所!B8+岡崎事務所!B8+綾測!B8</f>
        <v>4366240</v>
      </c>
      <c r="C8" s="6">
        <f>井坂事務所!C8+岡崎事務所!C8+綾測!C8</f>
        <v>436624</v>
      </c>
      <c r="D8" s="22">
        <f>井坂事務所!D8+岡崎事務所!D8+綾測!D8</f>
        <v>4802864</v>
      </c>
      <c r="E8" s="22">
        <f>井坂事務所!E8+岡崎事務所!E8+綾測!E8</f>
        <v>682674</v>
      </c>
      <c r="F8" s="6">
        <f>井坂事務所!F8+岡崎事務所!F8+綾測!F8</f>
        <v>4120190</v>
      </c>
      <c r="G8" s="6">
        <f>井坂事務所!G8+岡崎事務所!G8+綾測!G8</f>
        <v>2057349</v>
      </c>
      <c r="I8">
        <f>4802864-682674</f>
        <v>4120190</v>
      </c>
    </row>
    <row r="9" spans="1:9" x14ac:dyDescent="0.45">
      <c r="A9" s="8">
        <v>46265</v>
      </c>
      <c r="B9" s="6">
        <f>井坂事務所!B9+岡崎事務所!B9+綾測!B9</f>
        <v>1077628</v>
      </c>
      <c r="C9" s="6">
        <f>井坂事務所!C9+岡崎事務所!C9+綾測!C9</f>
        <v>107762.8</v>
      </c>
      <c r="D9" s="22">
        <f>井坂事務所!D9+岡崎事務所!D9+綾測!D9</f>
        <v>1185390.8</v>
      </c>
      <c r="E9" s="22">
        <f>井坂事務所!E9+岡崎事務所!E9+綾測!E9</f>
        <v>113848</v>
      </c>
      <c r="F9" s="6">
        <f>井坂事務所!F9+岡崎事務所!F9+綾測!F9</f>
        <v>1071542.8</v>
      </c>
      <c r="G9" s="6">
        <f>井坂事務所!G9+岡崎事務所!G9+綾測!G9</f>
        <v>0</v>
      </c>
    </row>
    <row r="10" spans="1:9" x14ac:dyDescent="0.45">
      <c r="A10" s="2">
        <v>46295</v>
      </c>
      <c r="B10" s="6">
        <f>井坂事務所!B10+岡崎事務所!B10+綾測!B10</f>
        <v>0</v>
      </c>
      <c r="C10" s="6">
        <f>井坂事務所!C10+岡崎事務所!C10+綾測!C10</f>
        <v>0</v>
      </c>
      <c r="D10" s="22">
        <f>井坂事務所!D10+岡崎事務所!D10+綾測!D10</f>
        <v>0</v>
      </c>
      <c r="E10" s="22">
        <f>井坂事務所!E10+岡崎事務所!E10+綾測!E10</f>
        <v>0</v>
      </c>
      <c r="F10" s="6">
        <f>井坂事務所!F10+岡崎事務所!F10+綾測!F10</f>
        <v>0</v>
      </c>
      <c r="G10" s="6">
        <f>井坂事務所!G10+岡崎事務所!G10+綾測!G10</f>
        <v>0</v>
      </c>
    </row>
    <row r="11" spans="1:9" x14ac:dyDescent="0.45">
      <c r="A11" s="1">
        <v>46326</v>
      </c>
      <c r="B11" s="6">
        <f>井坂事務所!B11+岡崎事務所!B11+綾測!B11</f>
        <v>0</v>
      </c>
      <c r="C11" s="6">
        <f>井坂事務所!C11+岡崎事務所!C11+綾測!C11</f>
        <v>0</v>
      </c>
      <c r="D11" s="22">
        <f>井坂事務所!D11+岡崎事務所!D11+綾測!D11</f>
        <v>0</v>
      </c>
      <c r="E11" s="22">
        <f>井坂事務所!E11+岡崎事務所!E11+綾測!E11</f>
        <v>0</v>
      </c>
      <c r="F11" s="6">
        <f>井坂事務所!F11+岡崎事務所!F11+綾測!F11</f>
        <v>0</v>
      </c>
      <c r="G11" s="6">
        <f>井坂事務所!G11+岡崎事務所!G11+綾測!G11</f>
        <v>0</v>
      </c>
    </row>
    <row r="12" spans="1:9" x14ac:dyDescent="0.45">
      <c r="A12" s="2">
        <v>46356</v>
      </c>
      <c r="B12" s="6">
        <f>井坂事務所!B12+岡崎事務所!B12+綾測!B12</f>
        <v>0</v>
      </c>
      <c r="C12" s="6">
        <f>井坂事務所!C12+岡崎事務所!C12+綾測!C12</f>
        <v>0</v>
      </c>
      <c r="D12" s="22">
        <f>井坂事務所!D12+岡崎事務所!D12+綾測!D12</f>
        <v>0</v>
      </c>
      <c r="E12" s="22">
        <f>井坂事務所!E12+岡崎事務所!E12+綾測!E12</f>
        <v>0</v>
      </c>
      <c r="F12" s="6">
        <f>井坂事務所!F12+岡崎事務所!F12+綾測!F12</f>
        <v>0</v>
      </c>
      <c r="G12" s="6">
        <f>井坂事務所!G12+岡崎事務所!G12+綾測!G12</f>
        <v>0</v>
      </c>
    </row>
    <row r="13" spans="1:9" x14ac:dyDescent="0.45">
      <c r="A13" s="2">
        <v>46387</v>
      </c>
      <c r="B13" s="6">
        <f>井坂事務所!B13+岡崎事務所!B13+綾測!B13</f>
        <v>0</v>
      </c>
      <c r="C13" s="6">
        <f>井坂事務所!C13+岡崎事務所!C13+綾測!C13</f>
        <v>0</v>
      </c>
      <c r="D13" s="22">
        <f>井坂事務所!D13+岡崎事務所!D13+綾測!D13</f>
        <v>0</v>
      </c>
      <c r="E13" s="22">
        <f>井坂事務所!E13+岡崎事務所!E13+綾測!E13</f>
        <v>0</v>
      </c>
      <c r="F13" s="6">
        <f>井坂事務所!F13+岡崎事務所!F13+綾測!F13</f>
        <v>0</v>
      </c>
      <c r="G13" s="6">
        <f>井坂事務所!G13+岡崎事務所!G13+綾測!G13</f>
        <v>0</v>
      </c>
    </row>
    <row r="14" spans="1:9" x14ac:dyDescent="0.45">
      <c r="A14" s="1">
        <v>46418</v>
      </c>
      <c r="B14" s="6">
        <f>井坂事務所!B14+岡崎事務所!B14+綾測!B14</f>
        <v>0</v>
      </c>
      <c r="C14" s="6">
        <f>井坂事務所!C14+岡崎事務所!C14+綾測!C14</f>
        <v>0</v>
      </c>
      <c r="D14" s="22">
        <f>井坂事務所!D14+岡崎事務所!D14+綾測!D14</f>
        <v>0</v>
      </c>
      <c r="E14" s="22">
        <f>井坂事務所!E14+岡崎事務所!E14+綾測!E14</f>
        <v>0</v>
      </c>
      <c r="F14" s="6">
        <f>井坂事務所!F14+岡崎事務所!F14+綾測!F14</f>
        <v>0</v>
      </c>
      <c r="G14" s="6">
        <f>井坂事務所!G14+岡崎事務所!G14+綾測!G14</f>
        <v>0</v>
      </c>
    </row>
    <row r="15" spans="1:9" x14ac:dyDescent="0.45">
      <c r="A15" s="2">
        <v>46446</v>
      </c>
      <c r="B15" s="6">
        <f>井坂事務所!B15+岡崎事務所!B15+綾測!B15</f>
        <v>0</v>
      </c>
      <c r="C15" s="6">
        <f>井坂事務所!C15+岡崎事務所!C15+綾測!C15</f>
        <v>0</v>
      </c>
      <c r="D15" s="22">
        <f>井坂事務所!D15+岡崎事務所!D15+綾測!D15</f>
        <v>0</v>
      </c>
      <c r="E15" s="22">
        <f>井坂事務所!E15+岡崎事務所!E15+綾測!E15</f>
        <v>0</v>
      </c>
      <c r="F15" s="6">
        <f>井坂事務所!F15+岡崎事務所!F15+綾測!F15</f>
        <v>0</v>
      </c>
      <c r="G15" s="6">
        <f>井坂事務所!G15+岡崎事務所!G15+綾測!G15</f>
        <v>0</v>
      </c>
    </row>
    <row r="16" spans="1:9" x14ac:dyDescent="0.45">
      <c r="A16" s="2">
        <v>46477</v>
      </c>
      <c r="B16" s="6">
        <f>井坂事務所!B16+岡崎事務所!B16+綾測!B16</f>
        <v>0</v>
      </c>
      <c r="C16" s="6">
        <f>井坂事務所!C16+岡崎事務所!C16+綾測!C16</f>
        <v>0</v>
      </c>
      <c r="D16" s="22">
        <f>井坂事務所!D16+岡崎事務所!D16+綾測!D16</f>
        <v>0</v>
      </c>
      <c r="E16" s="22">
        <f>井坂事務所!E16+岡崎事務所!E16+綾測!E16</f>
        <v>0</v>
      </c>
      <c r="F16" s="6">
        <f>井坂事務所!F16+岡崎事務所!F16+綾測!F16</f>
        <v>0</v>
      </c>
      <c r="G16" s="6">
        <f>井坂事務所!G16+岡崎事務所!G16+綾測!G16</f>
        <v>0</v>
      </c>
    </row>
    <row r="17" spans="1:7" x14ac:dyDescent="0.45">
      <c r="A17" s="1">
        <v>46507</v>
      </c>
      <c r="B17" s="6">
        <f>井坂事務所!B17+岡崎事務所!B17+綾測!B17</f>
        <v>0</v>
      </c>
      <c r="C17" s="6">
        <f>井坂事務所!C17+岡崎事務所!C17+綾測!C17</f>
        <v>0</v>
      </c>
      <c r="D17" s="22">
        <f>井坂事務所!D17+岡崎事務所!D17+綾測!D17</f>
        <v>0</v>
      </c>
      <c r="E17" s="22">
        <f>井坂事務所!E17+岡崎事務所!E17+綾測!E17</f>
        <v>0</v>
      </c>
      <c r="F17" s="6">
        <f>井坂事務所!F17+岡崎事務所!F17+綾測!F17</f>
        <v>0</v>
      </c>
      <c r="G17" s="6">
        <f>井坂事務所!G17+岡崎事務所!G17+綾測!G17</f>
        <v>0</v>
      </c>
    </row>
    <row r="18" spans="1:7" x14ac:dyDescent="0.45">
      <c r="A18" s="2">
        <v>46538</v>
      </c>
      <c r="B18" s="6">
        <f>井坂事務所!B18+岡崎事務所!B18+綾測!B18</f>
        <v>0</v>
      </c>
      <c r="C18" s="6">
        <f>井坂事務所!C18+岡崎事務所!C18+綾測!C18</f>
        <v>0</v>
      </c>
      <c r="D18" s="22">
        <f>井坂事務所!D18+岡崎事務所!D18+綾測!D18</f>
        <v>0</v>
      </c>
      <c r="E18" s="22">
        <f>井坂事務所!E18+岡崎事務所!E18+綾測!E18</f>
        <v>0</v>
      </c>
      <c r="F18" s="6">
        <f>井坂事務所!F18+岡崎事務所!F18+綾測!F18</f>
        <v>0</v>
      </c>
      <c r="G18" s="6">
        <f>井坂事務所!G18+岡崎事務所!G18+綾測!G18</f>
        <v>0</v>
      </c>
    </row>
    <row r="19" spans="1:7" x14ac:dyDescent="0.45">
      <c r="A19" s="1">
        <v>46568</v>
      </c>
      <c r="B19" s="6">
        <f>井坂事務所!B19+岡崎事務所!B19+綾測!B19</f>
        <v>0</v>
      </c>
      <c r="C19" s="6">
        <f>井坂事務所!C19+岡崎事務所!C19+綾測!C19</f>
        <v>0</v>
      </c>
      <c r="D19" s="22">
        <f>井坂事務所!D19+岡崎事務所!D19+綾測!D19</f>
        <v>0</v>
      </c>
      <c r="E19" s="22">
        <f>井坂事務所!E19+岡崎事務所!E19+綾測!E19</f>
        <v>0</v>
      </c>
      <c r="F19" s="6">
        <f>井坂事務所!F19+岡崎事務所!F19+綾測!F19</f>
        <v>0</v>
      </c>
      <c r="G19" s="6">
        <f>井坂事務所!G19+岡崎事務所!G19+綾測!G19</f>
        <v>0</v>
      </c>
    </row>
    <row r="20" spans="1:7" x14ac:dyDescent="0.45">
      <c r="A20" s="2">
        <v>46599</v>
      </c>
      <c r="B20" s="6">
        <f>井坂事務所!B20+岡崎事務所!B20+綾測!B20</f>
        <v>0</v>
      </c>
      <c r="C20" s="6">
        <f>井坂事務所!C20+岡崎事務所!C20+綾測!C20</f>
        <v>0</v>
      </c>
      <c r="D20" s="22">
        <f>井坂事務所!D20+岡崎事務所!D20+綾測!D20</f>
        <v>0</v>
      </c>
      <c r="E20" s="22">
        <f>井坂事務所!E20+岡崎事務所!E20+綾測!E20</f>
        <v>0</v>
      </c>
      <c r="F20" s="6">
        <f>井坂事務所!F20+岡崎事務所!F20+綾測!F20</f>
        <v>0</v>
      </c>
      <c r="G20" s="6">
        <f>井坂事務所!G20+岡崎事務所!G20+綾測!G20</f>
        <v>0</v>
      </c>
    </row>
    <row r="21" spans="1:7" x14ac:dyDescent="0.45">
      <c r="A21" s="1">
        <v>46630</v>
      </c>
      <c r="B21" s="6">
        <f>井坂事務所!B21+岡崎事務所!B21+綾測!B21</f>
        <v>0</v>
      </c>
      <c r="C21" s="6">
        <f>井坂事務所!C21+岡崎事務所!C21+綾測!C21</f>
        <v>0</v>
      </c>
      <c r="D21" s="22">
        <f>井坂事務所!D21+岡崎事務所!D21+綾測!D21</f>
        <v>0</v>
      </c>
      <c r="E21" s="22">
        <f>井坂事務所!E21+岡崎事務所!E21+綾測!E21</f>
        <v>0</v>
      </c>
      <c r="F21" s="6">
        <f>井坂事務所!F21+岡崎事務所!F21+綾測!F21</f>
        <v>0</v>
      </c>
      <c r="G21" s="6">
        <f>井坂事務所!G21+岡崎事務所!G21+綾測!G21</f>
        <v>0</v>
      </c>
    </row>
    <row r="22" spans="1:7" x14ac:dyDescent="0.45">
      <c r="A22" s="2">
        <v>46660</v>
      </c>
      <c r="B22" s="6">
        <f>井坂事務所!B22+岡崎事務所!B22+綾測!B22</f>
        <v>0</v>
      </c>
      <c r="C22" s="6">
        <f>井坂事務所!C22+岡崎事務所!C22+綾測!C22</f>
        <v>0</v>
      </c>
      <c r="D22" s="22">
        <f>井坂事務所!D22+岡崎事務所!D22+綾測!D22</f>
        <v>0</v>
      </c>
      <c r="E22" s="22">
        <f>井坂事務所!E22+岡崎事務所!E22+綾測!E22</f>
        <v>0</v>
      </c>
      <c r="F22" s="6">
        <f>井坂事務所!F22+岡崎事務所!F22+綾測!F22</f>
        <v>0</v>
      </c>
      <c r="G22" s="6">
        <f>井坂事務所!G22+岡崎事務所!G22+綾測!G22</f>
        <v>0</v>
      </c>
    </row>
    <row r="23" spans="1:7" x14ac:dyDescent="0.45">
      <c r="A23" s="1">
        <v>46691</v>
      </c>
      <c r="B23" s="6">
        <f>井坂事務所!B23+岡崎事務所!B23+綾測!B23</f>
        <v>0</v>
      </c>
      <c r="C23" s="6">
        <f>井坂事務所!C23+岡崎事務所!C23+綾測!C23</f>
        <v>0</v>
      </c>
      <c r="D23" s="22">
        <f>井坂事務所!D23+岡崎事務所!D23+綾測!D23</f>
        <v>0</v>
      </c>
      <c r="E23" s="22">
        <f>井坂事務所!E23+岡崎事務所!E23+綾測!E23</f>
        <v>0</v>
      </c>
      <c r="F23" s="6">
        <f>井坂事務所!F23+岡崎事務所!F23+綾測!F23</f>
        <v>0</v>
      </c>
      <c r="G23" s="6">
        <f>井坂事務所!G23+岡崎事務所!G23+綾測!G23</f>
        <v>0</v>
      </c>
    </row>
    <row r="24" spans="1:7" x14ac:dyDescent="0.45">
      <c r="A24" s="2">
        <v>46721</v>
      </c>
      <c r="B24" s="6">
        <f>井坂事務所!B24+岡崎事務所!B24+綾測!B24</f>
        <v>0</v>
      </c>
      <c r="C24" s="6">
        <f>井坂事務所!C24+岡崎事務所!C24+綾測!C24</f>
        <v>0</v>
      </c>
      <c r="D24" s="22">
        <f>井坂事務所!D24+岡崎事務所!D24+綾測!D24</f>
        <v>0</v>
      </c>
      <c r="E24" s="22">
        <f>井坂事務所!E24+岡崎事務所!E24+綾測!E24</f>
        <v>0</v>
      </c>
      <c r="F24" s="6">
        <f>井坂事務所!F24+岡崎事務所!F24+綾測!F24</f>
        <v>0</v>
      </c>
      <c r="G24" s="6">
        <f>井坂事務所!G24+岡崎事務所!G24+綾測!G24</f>
        <v>0</v>
      </c>
    </row>
    <row r="25" spans="1:7" x14ac:dyDescent="0.45">
      <c r="A25" s="1">
        <v>46752</v>
      </c>
      <c r="B25" s="6">
        <f>井坂事務所!B25+岡崎事務所!B25+綾測!B25</f>
        <v>0</v>
      </c>
      <c r="C25" s="6">
        <f>井坂事務所!C25+岡崎事務所!C25+綾測!C25</f>
        <v>0</v>
      </c>
      <c r="D25" s="22">
        <f>井坂事務所!D25+岡崎事務所!D25+綾測!D25</f>
        <v>0</v>
      </c>
      <c r="E25" s="22">
        <f>井坂事務所!E25+岡崎事務所!E25+綾測!E25</f>
        <v>0</v>
      </c>
      <c r="F25" s="6">
        <f>井坂事務所!F25+岡崎事務所!F25+綾測!F25</f>
        <v>0</v>
      </c>
      <c r="G25" s="6">
        <f>井坂事務所!G25+岡崎事務所!G25+綾測!G25</f>
        <v>0</v>
      </c>
    </row>
    <row r="26" spans="1:7" x14ac:dyDescent="0.45">
      <c r="A26" s="2">
        <v>46783</v>
      </c>
      <c r="B26" s="6">
        <f>井坂事務所!B26+岡崎事務所!B26+綾測!B26</f>
        <v>0</v>
      </c>
      <c r="C26" s="6">
        <f>井坂事務所!C26+岡崎事務所!C26+綾測!C26</f>
        <v>0</v>
      </c>
      <c r="D26" s="22">
        <f>井坂事務所!D26+岡崎事務所!D26+綾測!D26</f>
        <v>0</v>
      </c>
      <c r="E26" s="22">
        <f>井坂事務所!E26+岡崎事務所!E26+綾測!E26</f>
        <v>0</v>
      </c>
      <c r="F26" s="6">
        <f>井坂事務所!F26+岡崎事務所!F26+綾測!F26</f>
        <v>0</v>
      </c>
      <c r="G26" s="6">
        <f>井坂事務所!G26+岡崎事務所!G26+綾測!G26</f>
        <v>0</v>
      </c>
    </row>
    <row r="27" spans="1:7" x14ac:dyDescent="0.45">
      <c r="A27" s="1">
        <v>46812</v>
      </c>
      <c r="B27" s="6">
        <f>井坂事務所!B27+岡崎事務所!B27+綾測!B27</f>
        <v>0</v>
      </c>
      <c r="C27" s="6">
        <f>井坂事務所!C27+岡崎事務所!C27+綾測!C27</f>
        <v>0</v>
      </c>
      <c r="D27" s="22">
        <f>井坂事務所!D27+岡崎事務所!D27+綾測!D27</f>
        <v>0</v>
      </c>
      <c r="E27" s="22">
        <f>井坂事務所!E27+岡崎事務所!E27+綾測!E27</f>
        <v>0</v>
      </c>
      <c r="F27" s="6">
        <f>井坂事務所!F27+岡崎事務所!F27+綾測!F27</f>
        <v>0</v>
      </c>
      <c r="G27" s="6">
        <f>井坂事務所!G27+岡崎事務所!G27+綾測!G27</f>
        <v>0</v>
      </c>
    </row>
    <row r="28" spans="1:7" x14ac:dyDescent="0.45">
      <c r="A28" s="2">
        <v>46843</v>
      </c>
      <c r="B28" s="6">
        <f>井坂事務所!B28+岡崎事務所!B28+綾測!B28</f>
        <v>0</v>
      </c>
      <c r="C28" s="6">
        <f>井坂事務所!C28+岡崎事務所!C28+綾測!C28</f>
        <v>0</v>
      </c>
      <c r="D28" s="22">
        <f>井坂事務所!D28+岡崎事務所!D28+綾測!D28</f>
        <v>0</v>
      </c>
      <c r="E28" s="22">
        <f>井坂事務所!E28+岡崎事務所!E28+綾測!E28</f>
        <v>0</v>
      </c>
      <c r="F28" s="6">
        <f>井坂事務所!F28+岡崎事務所!F28+綾測!F28</f>
        <v>0</v>
      </c>
      <c r="G28" s="6">
        <f>井坂事務所!G28+岡崎事務所!G28+綾測!G28</f>
        <v>0</v>
      </c>
    </row>
    <row r="29" spans="1:7" x14ac:dyDescent="0.45">
      <c r="A29" s="1">
        <v>46873</v>
      </c>
      <c r="B29" s="6">
        <f>井坂事務所!B29+岡崎事務所!B29+綾測!B29</f>
        <v>0</v>
      </c>
      <c r="C29" s="6">
        <f>井坂事務所!C29+岡崎事務所!C29+綾測!C29</f>
        <v>0</v>
      </c>
      <c r="D29" s="22">
        <f>井坂事務所!D29+岡崎事務所!D29+綾測!D29</f>
        <v>0</v>
      </c>
      <c r="E29" s="22">
        <f>井坂事務所!E29+岡崎事務所!E29+綾測!E29</f>
        <v>0</v>
      </c>
      <c r="F29" s="6">
        <f>井坂事務所!F29+岡崎事務所!F29+綾測!F29</f>
        <v>0</v>
      </c>
      <c r="G29" s="6">
        <f>井坂事務所!G29+岡崎事務所!G29+綾測!G29</f>
        <v>0</v>
      </c>
    </row>
    <row r="30" spans="1:7" x14ac:dyDescent="0.45">
      <c r="A30" s="2">
        <v>46904</v>
      </c>
      <c r="B30" s="6">
        <f>井坂事務所!B30+岡崎事務所!B30+綾測!B30</f>
        <v>0</v>
      </c>
      <c r="C30" s="6">
        <f>井坂事務所!C30+岡崎事務所!C30+綾測!C30</f>
        <v>0</v>
      </c>
      <c r="D30" s="22">
        <f>井坂事務所!D30+岡崎事務所!D30+綾測!D30</f>
        <v>0</v>
      </c>
      <c r="E30" s="22">
        <f>井坂事務所!E30+岡崎事務所!E30+綾測!E30</f>
        <v>0</v>
      </c>
      <c r="F30" s="6">
        <f>井坂事務所!F30+岡崎事務所!F30+綾測!F30</f>
        <v>0</v>
      </c>
      <c r="G30" s="6">
        <f>井坂事務所!G30+岡崎事務所!G30+綾測!G30</f>
        <v>0</v>
      </c>
    </row>
    <row r="31" spans="1:7" x14ac:dyDescent="0.45">
      <c r="A31" s="1">
        <v>46934</v>
      </c>
      <c r="B31" s="6">
        <f>井坂事務所!B31+岡崎事務所!B31+綾測!B31</f>
        <v>0</v>
      </c>
      <c r="C31" s="6">
        <f>井坂事務所!C31+岡崎事務所!C31+綾測!C31</f>
        <v>0</v>
      </c>
      <c r="D31" s="22">
        <f>井坂事務所!D31+岡崎事務所!D31+綾測!D31</f>
        <v>0</v>
      </c>
      <c r="E31" s="22">
        <f>井坂事務所!E31+岡崎事務所!E31+綾測!E31</f>
        <v>0</v>
      </c>
      <c r="F31" s="6">
        <f>井坂事務所!F31+岡崎事務所!F31+綾測!F31</f>
        <v>0</v>
      </c>
      <c r="G31" s="6">
        <f>井坂事務所!G31+岡崎事務所!G31+綾測!G31</f>
        <v>0</v>
      </c>
    </row>
    <row r="32" spans="1:7" x14ac:dyDescent="0.45">
      <c r="A32" s="2">
        <v>46965</v>
      </c>
      <c r="B32" s="6">
        <f>井坂事務所!B32+岡崎事務所!B32+綾測!B32</f>
        <v>0</v>
      </c>
      <c r="C32" s="6">
        <f>井坂事務所!C32+岡崎事務所!C32+綾測!C32</f>
        <v>0</v>
      </c>
      <c r="D32" s="22">
        <f>井坂事務所!D32+岡崎事務所!D32+綾測!D32</f>
        <v>0</v>
      </c>
      <c r="E32" s="22">
        <f>井坂事務所!E32+岡崎事務所!E32+綾測!E32</f>
        <v>0</v>
      </c>
      <c r="F32" s="6">
        <f>井坂事務所!F32+岡崎事務所!F32+綾測!F32</f>
        <v>0</v>
      </c>
      <c r="G32" s="6">
        <f>井坂事務所!G32+岡崎事務所!G32+綾測!G32</f>
        <v>0</v>
      </c>
    </row>
    <row r="33" spans="1:7" x14ac:dyDescent="0.45">
      <c r="A33" s="1">
        <v>46996</v>
      </c>
      <c r="B33" s="6">
        <f>井坂事務所!B33+岡崎事務所!B33+綾測!B33</f>
        <v>0</v>
      </c>
      <c r="C33" s="6">
        <f>井坂事務所!C33+岡崎事務所!C33+綾測!C33</f>
        <v>0</v>
      </c>
      <c r="D33" s="22">
        <f>井坂事務所!D33+岡崎事務所!D33+綾測!D33</f>
        <v>0</v>
      </c>
      <c r="E33" s="22">
        <f>井坂事務所!E33+岡崎事務所!E33+綾測!E33</f>
        <v>0</v>
      </c>
      <c r="F33" s="6">
        <f>井坂事務所!F33+岡崎事務所!F33+綾測!F33</f>
        <v>0</v>
      </c>
      <c r="G33" s="6">
        <f>井坂事務所!G33+岡崎事務所!G33+綾測!G33</f>
        <v>0</v>
      </c>
    </row>
    <row r="34" spans="1:7" x14ac:dyDescent="0.45">
      <c r="A34" s="1">
        <v>47026</v>
      </c>
      <c r="B34" s="6">
        <f>井坂事務所!B34+岡崎事務所!B34+綾測!B34</f>
        <v>0</v>
      </c>
      <c r="C34" s="6">
        <f>井坂事務所!C34+岡崎事務所!C34+綾測!C34</f>
        <v>0</v>
      </c>
      <c r="D34" s="22">
        <f>井坂事務所!D34+岡崎事務所!D34+綾測!D34</f>
        <v>0</v>
      </c>
      <c r="E34" s="22">
        <f>井坂事務所!E34+岡崎事務所!E34+綾測!E34</f>
        <v>0</v>
      </c>
      <c r="F34" s="6">
        <f>井坂事務所!F34+岡崎事務所!F34+綾測!F34</f>
        <v>0</v>
      </c>
      <c r="G34" s="6">
        <f>井坂事務所!G34+岡崎事務所!G34+綾測!G34</f>
        <v>0</v>
      </c>
    </row>
    <row r="35" spans="1:7" x14ac:dyDescent="0.45">
      <c r="A35" s="2">
        <v>47057</v>
      </c>
      <c r="B35" s="6">
        <f>井坂事務所!B35+岡崎事務所!B35+綾測!B35</f>
        <v>0</v>
      </c>
      <c r="C35" s="6">
        <f>井坂事務所!C35+岡崎事務所!C35+綾測!C35</f>
        <v>0</v>
      </c>
      <c r="D35" s="22">
        <f>井坂事務所!D35+岡崎事務所!D35+綾測!D35</f>
        <v>0</v>
      </c>
      <c r="E35" s="22">
        <f>井坂事務所!E35+岡崎事務所!E35+綾測!E35</f>
        <v>0</v>
      </c>
      <c r="F35" s="6">
        <f>井坂事務所!F35+岡崎事務所!F35+綾測!F35</f>
        <v>0</v>
      </c>
      <c r="G35" s="6">
        <f>井坂事務所!G35+岡崎事務所!G35+綾測!G35</f>
        <v>0</v>
      </c>
    </row>
    <row r="36" spans="1:7" x14ac:dyDescent="0.45">
      <c r="A36" s="1">
        <v>47087</v>
      </c>
      <c r="B36" s="6">
        <f>井坂事務所!B36+岡崎事務所!B36+綾測!B36</f>
        <v>0</v>
      </c>
      <c r="C36" s="6">
        <f>井坂事務所!C36+岡崎事務所!C36+綾測!C36</f>
        <v>0</v>
      </c>
      <c r="D36" s="22">
        <f>井坂事務所!D36+岡崎事務所!D36+綾測!D36</f>
        <v>0</v>
      </c>
      <c r="E36" s="22">
        <f>井坂事務所!E36+岡崎事務所!E36+綾測!E36</f>
        <v>0</v>
      </c>
      <c r="F36" s="6">
        <f>井坂事務所!F36+岡崎事務所!F36+綾測!F36</f>
        <v>0</v>
      </c>
      <c r="G36" s="6">
        <f>井坂事務所!G36+岡崎事務所!G36+綾測!G36</f>
        <v>0</v>
      </c>
    </row>
    <row r="37" spans="1:7" x14ac:dyDescent="0.45">
      <c r="A37" s="2">
        <v>47118</v>
      </c>
      <c r="B37" s="6">
        <f>井坂事務所!B37+岡崎事務所!B37+綾測!B37</f>
        <v>0</v>
      </c>
      <c r="C37" s="6">
        <f>井坂事務所!C37+岡崎事務所!C37+綾測!C37</f>
        <v>0</v>
      </c>
      <c r="D37" s="22">
        <f>井坂事務所!D37+岡崎事務所!D37+綾測!D37</f>
        <v>0</v>
      </c>
      <c r="E37" s="22">
        <f>井坂事務所!E37+岡崎事務所!E37+綾測!E37</f>
        <v>0</v>
      </c>
      <c r="F37" s="6">
        <f>井坂事務所!F37+岡崎事務所!F37+綾測!F37</f>
        <v>0</v>
      </c>
      <c r="G37" s="6">
        <f>井坂事務所!G37+岡崎事務所!G37+綾測!G37</f>
        <v>0</v>
      </c>
    </row>
    <row r="38" spans="1:7" x14ac:dyDescent="0.45">
      <c r="A38" s="1"/>
      <c r="C38" s="9"/>
      <c r="F38" s="4"/>
    </row>
    <row r="39" spans="1:7" x14ac:dyDescent="0.45">
      <c r="A39" s="2"/>
      <c r="B39" s="7"/>
      <c r="C39" s="9"/>
      <c r="F39" s="4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井坂事務所</vt:lpstr>
      <vt:lpstr>岡崎事務所</vt:lpstr>
      <vt:lpstr>綾測</vt:lpstr>
      <vt:lpstr>合計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 UrbanPC</dc:creator>
  <cp:lastModifiedBy>001 UrbanPC</cp:lastModifiedBy>
  <dcterms:created xsi:type="dcterms:W3CDTF">2026-08-21T03:16:11Z</dcterms:created>
  <dcterms:modified xsi:type="dcterms:W3CDTF">2026-09-07T09:00:43Z</dcterms:modified>
</cp:coreProperties>
</file>