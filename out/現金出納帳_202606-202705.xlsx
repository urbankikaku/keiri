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勘定科目" sheetId="1" state="visible" r:id="rId1"/>
    <sheet name="202606" sheetId="2" state="visible" r:id="rId2"/>
    <sheet name="202607" sheetId="3" state="visible" r:id="rId3"/>
    <sheet name="202608" sheetId="4" state="visible" r:id="rId4"/>
    <sheet name="202609" sheetId="5" state="visible" r:id="rId5"/>
    <sheet name="202610" sheetId="6" state="visible" r:id="rId6"/>
    <sheet name="202611" sheetId="7" state="visible" r:id="rId7"/>
    <sheet name="202612" sheetId="8" state="visible" r:id="rId8"/>
    <sheet name="202701" sheetId="9" state="visible" r:id="rId9"/>
    <sheet name="202702" sheetId="10" state="visible" r:id="rId10"/>
    <sheet name="202703" sheetId="11" state="visible" r:id="rId11"/>
    <sheet name="202704" sheetId="12" state="visible" r:id="rId12"/>
    <sheet name="202705" sheetId="13" state="visible" r:id="rId13"/>
  </sheets>
  <definedNames>
    <definedName name="_xlnm._FilterDatabase" localSheetId="1" hidden="1">'202606'!$A$1:$D$201</definedName>
    <definedName name="_xlnm._FilterDatabase" localSheetId="2" hidden="1">'202607'!$A$1:$D$201</definedName>
    <definedName name="_xlnm._FilterDatabase" localSheetId="3" hidden="1">'202608'!$A$1:$D$201</definedName>
    <definedName name="_xlnm._FilterDatabase" localSheetId="4" hidden="1">'202609'!$A$1:$D$201</definedName>
    <definedName name="_xlnm._FilterDatabase" localSheetId="5" hidden="1">'202610'!$A$1:$D$201</definedName>
    <definedName name="_xlnm._FilterDatabase" localSheetId="6" hidden="1">'202611'!$A$1:$D$201</definedName>
    <definedName name="_xlnm._FilterDatabase" localSheetId="7" hidden="1">'202612'!$A$1:$D$201</definedName>
    <definedName name="_xlnm._FilterDatabase" localSheetId="8" hidden="1">'202701'!$A$1:$D$201</definedName>
    <definedName name="_xlnm._FilterDatabase" localSheetId="9" hidden="1">'202702'!$A$1:$D$201</definedName>
    <definedName name="_xlnm._FilterDatabase" localSheetId="10" hidden="1">'202703'!$A$1:$D$201</definedName>
    <definedName name="_xlnm._FilterDatabase" localSheetId="11" hidden="1">'202704'!$A$1:$D$201</definedName>
    <definedName name="_xlnm._FilterDatabase" localSheetId="12" hidden="1">'202705'!$A$1:$D$201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#,##0_);[Red]\(#,##0\)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6" fontId="2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勘定科目</t>
        </is>
      </c>
      <c r="B1" s="2" t="inlineStr">
        <is>
          <t>202606</t>
        </is>
      </c>
      <c r="C1" s="2" t="inlineStr">
        <is>
          <t>202607</t>
        </is>
      </c>
      <c r="D1" s="2" t="inlineStr">
        <is>
          <t>202608</t>
        </is>
      </c>
      <c r="E1" s="2" t="inlineStr">
        <is>
          <t>202609</t>
        </is>
      </c>
      <c r="F1" s="2" t="inlineStr">
        <is>
          <t>202610</t>
        </is>
      </c>
      <c r="G1" s="2" t="inlineStr">
        <is>
          <t>202611</t>
        </is>
      </c>
      <c r="H1" s="2" t="inlineStr">
        <is>
          <t>202612</t>
        </is>
      </c>
      <c r="I1" s="2" t="inlineStr">
        <is>
          <t>202701</t>
        </is>
      </c>
      <c r="J1" s="2" t="inlineStr">
        <is>
          <t>202702</t>
        </is>
      </c>
      <c r="K1" s="2" t="inlineStr">
        <is>
          <t>202703</t>
        </is>
      </c>
      <c r="L1" s="2" t="inlineStr">
        <is>
          <t>202704</t>
        </is>
      </c>
      <c r="M1" s="2" t="inlineStr">
        <is>
          <t>202705</t>
        </is>
      </c>
      <c r="N1" s="1" t="inlineStr">
        <is>
          <t>年間合計</t>
        </is>
      </c>
    </row>
    <row r="2">
      <c r="A2" s="3" t="inlineStr">
        <is>
          <t>雑費</t>
        </is>
      </c>
      <c r="B2" s="4">
        <f>SUMIF('202606'!$B:$B,$A2,'202606'!$D:$D)</f>
        <v/>
      </c>
      <c r="C2" s="4">
        <f>SUMIF('202607'!$B:$B,$A2,'202607'!$D:$D)</f>
        <v/>
      </c>
      <c r="D2" s="4">
        <f>SUMIF('202608'!$B:$B,$A2,'202608'!$D:$D)</f>
        <v/>
      </c>
      <c r="E2" s="4">
        <f>SUMIF('202609'!$B:$B,$A2,'202609'!$D:$D)</f>
        <v/>
      </c>
      <c r="F2" s="4">
        <f>SUMIF('202610'!$B:$B,$A2,'202610'!$D:$D)</f>
        <v/>
      </c>
      <c r="G2" s="4">
        <f>SUMIF('202611'!$B:$B,$A2,'202611'!$D:$D)</f>
        <v/>
      </c>
      <c r="H2" s="4">
        <f>SUMIF('202612'!$B:$B,$A2,'202612'!$D:$D)</f>
        <v/>
      </c>
      <c r="I2" s="4">
        <f>SUMIF('202701'!$B:$B,$A2,'202701'!$D:$D)</f>
        <v/>
      </c>
      <c r="J2" s="4">
        <f>SUMIF('202702'!$B:$B,$A2,'202702'!$D:$D)</f>
        <v/>
      </c>
      <c r="K2" s="4">
        <f>SUMIF('202703'!$B:$B,$A2,'202703'!$D:$D)</f>
        <v/>
      </c>
      <c r="L2" s="4">
        <f>SUMIF('202704'!$B:$B,$A2,'202704'!$D:$D)</f>
        <v/>
      </c>
      <c r="M2" s="4">
        <f>SUMIF('202705'!$B:$B,$A2,'202705'!$D:$D)</f>
        <v/>
      </c>
      <c r="N2" s="5">
        <f>SUM(B2:M2)</f>
        <v/>
      </c>
    </row>
    <row r="3">
      <c r="A3" s="3" t="inlineStr">
        <is>
          <t>リース料</t>
        </is>
      </c>
      <c r="B3" s="4">
        <f>SUMIF('202606'!$B:$B,$A3,'202606'!$D:$D)</f>
        <v/>
      </c>
      <c r="C3" s="4">
        <f>SUMIF('202607'!$B:$B,$A3,'202607'!$D:$D)</f>
        <v/>
      </c>
      <c r="D3" s="4">
        <f>SUMIF('202608'!$B:$B,$A3,'202608'!$D:$D)</f>
        <v/>
      </c>
      <c r="E3" s="4">
        <f>SUMIF('202609'!$B:$B,$A3,'202609'!$D:$D)</f>
        <v/>
      </c>
      <c r="F3" s="4">
        <f>SUMIF('202610'!$B:$B,$A3,'202610'!$D:$D)</f>
        <v/>
      </c>
      <c r="G3" s="4">
        <f>SUMIF('202611'!$B:$B,$A3,'202611'!$D:$D)</f>
        <v/>
      </c>
      <c r="H3" s="4">
        <f>SUMIF('202612'!$B:$B,$A3,'202612'!$D:$D)</f>
        <v/>
      </c>
      <c r="I3" s="4">
        <f>SUMIF('202701'!$B:$B,$A3,'202701'!$D:$D)</f>
        <v/>
      </c>
      <c r="J3" s="4">
        <f>SUMIF('202702'!$B:$B,$A3,'202702'!$D:$D)</f>
        <v/>
      </c>
      <c r="K3" s="4">
        <f>SUMIF('202703'!$B:$B,$A3,'202703'!$D:$D)</f>
        <v/>
      </c>
      <c r="L3" s="4">
        <f>SUMIF('202704'!$B:$B,$A3,'202704'!$D:$D)</f>
        <v/>
      </c>
      <c r="M3" s="4">
        <f>SUMIF('202705'!$B:$B,$A3,'202705'!$D:$D)</f>
        <v/>
      </c>
      <c r="N3" s="5">
        <f>SUM(B3:M3)</f>
        <v/>
      </c>
    </row>
    <row r="4">
      <c r="A4" s="3" t="inlineStr">
        <is>
          <t>賃借料</t>
        </is>
      </c>
      <c r="B4" s="4">
        <f>SUMIF('202606'!$B:$B,$A4,'202606'!$D:$D)</f>
        <v/>
      </c>
      <c r="C4" s="4">
        <f>SUMIF('202607'!$B:$B,$A4,'202607'!$D:$D)</f>
        <v/>
      </c>
      <c r="D4" s="4">
        <f>SUMIF('202608'!$B:$B,$A4,'202608'!$D:$D)</f>
        <v/>
      </c>
      <c r="E4" s="4">
        <f>SUMIF('202609'!$B:$B,$A4,'202609'!$D:$D)</f>
        <v/>
      </c>
      <c r="F4" s="4">
        <f>SUMIF('202610'!$B:$B,$A4,'202610'!$D:$D)</f>
        <v/>
      </c>
      <c r="G4" s="4">
        <f>SUMIF('202611'!$B:$B,$A4,'202611'!$D:$D)</f>
        <v/>
      </c>
      <c r="H4" s="4">
        <f>SUMIF('202612'!$B:$B,$A4,'202612'!$D:$D)</f>
        <v/>
      </c>
      <c r="I4" s="4">
        <f>SUMIF('202701'!$B:$B,$A4,'202701'!$D:$D)</f>
        <v/>
      </c>
      <c r="J4" s="4">
        <f>SUMIF('202702'!$B:$B,$A4,'202702'!$D:$D)</f>
        <v/>
      </c>
      <c r="K4" s="4">
        <f>SUMIF('202703'!$B:$B,$A4,'202703'!$D:$D)</f>
        <v/>
      </c>
      <c r="L4" s="4">
        <f>SUMIF('202704'!$B:$B,$A4,'202704'!$D:$D)</f>
        <v/>
      </c>
      <c r="M4" s="4">
        <f>SUMIF('202705'!$B:$B,$A4,'202705'!$D:$D)</f>
        <v/>
      </c>
      <c r="N4" s="5">
        <f>SUM(B4:M4)</f>
        <v/>
      </c>
    </row>
    <row r="5">
      <c r="A5" s="3" t="inlineStr">
        <is>
          <t>接待交際費</t>
        </is>
      </c>
      <c r="B5" s="4">
        <f>SUMIF('202606'!$B:$B,$A5,'202606'!$D:$D)</f>
        <v/>
      </c>
      <c r="C5" s="4">
        <f>SUMIF('202607'!$B:$B,$A5,'202607'!$D:$D)</f>
        <v/>
      </c>
      <c r="D5" s="4">
        <f>SUMIF('202608'!$B:$B,$A5,'202608'!$D:$D)</f>
        <v/>
      </c>
      <c r="E5" s="4">
        <f>SUMIF('202609'!$B:$B,$A5,'202609'!$D:$D)</f>
        <v/>
      </c>
      <c r="F5" s="4">
        <f>SUMIF('202610'!$B:$B,$A5,'202610'!$D:$D)</f>
        <v/>
      </c>
      <c r="G5" s="4">
        <f>SUMIF('202611'!$B:$B,$A5,'202611'!$D:$D)</f>
        <v/>
      </c>
      <c r="H5" s="4">
        <f>SUMIF('202612'!$B:$B,$A5,'202612'!$D:$D)</f>
        <v/>
      </c>
      <c r="I5" s="4">
        <f>SUMIF('202701'!$B:$B,$A5,'202701'!$D:$D)</f>
        <v/>
      </c>
      <c r="J5" s="4">
        <f>SUMIF('202702'!$B:$B,$A5,'202702'!$D:$D)</f>
        <v/>
      </c>
      <c r="K5" s="4">
        <f>SUMIF('202703'!$B:$B,$A5,'202703'!$D:$D)</f>
        <v/>
      </c>
      <c r="L5" s="4">
        <f>SUMIF('202704'!$B:$B,$A5,'202704'!$D:$D)</f>
        <v/>
      </c>
      <c r="M5" s="4">
        <f>SUMIF('202705'!$B:$B,$A5,'202705'!$D:$D)</f>
        <v/>
      </c>
      <c r="N5" s="5">
        <f>SUM(B5:M5)</f>
        <v/>
      </c>
    </row>
    <row r="6">
      <c r="A6" s="3" t="inlineStr">
        <is>
          <t>会議費</t>
        </is>
      </c>
      <c r="B6" s="4">
        <f>SUMIF('202606'!$B:$B,$A6,'202606'!$D:$D)</f>
        <v/>
      </c>
      <c r="C6" s="4">
        <f>SUMIF('202607'!$B:$B,$A6,'202607'!$D:$D)</f>
        <v/>
      </c>
      <c r="D6" s="4">
        <f>SUMIF('202608'!$B:$B,$A6,'202608'!$D:$D)</f>
        <v/>
      </c>
      <c r="E6" s="4">
        <f>SUMIF('202609'!$B:$B,$A6,'202609'!$D:$D)</f>
        <v/>
      </c>
      <c r="F6" s="4">
        <f>SUMIF('202610'!$B:$B,$A6,'202610'!$D:$D)</f>
        <v/>
      </c>
      <c r="G6" s="4">
        <f>SUMIF('202611'!$B:$B,$A6,'202611'!$D:$D)</f>
        <v/>
      </c>
      <c r="H6" s="4">
        <f>SUMIF('202612'!$B:$B,$A6,'202612'!$D:$D)</f>
        <v/>
      </c>
      <c r="I6" s="4">
        <f>SUMIF('202701'!$B:$B,$A6,'202701'!$D:$D)</f>
        <v/>
      </c>
      <c r="J6" s="4">
        <f>SUMIF('202702'!$B:$B,$A6,'202702'!$D:$D)</f>
        <v/>
      </c>
      <c r="K6" s="4">
        <f>SUMIF('202703'!$B:$B,$A6,'202703'!$D:$D)</f>
        <v/>
      </c>
      <c r="L6" s="4">
        <f>SUMIF('202704'!$B:$B,$A6,'202704'!$D:$D)</f>
        <v/>
      </c>
      <c r="M6" s="4">
        <f>SUMIF('202705'!$B:$B,$A6,'202705'!$D:$D)</f>
        <v/>
      </c>
      <c r="N6" s="5">
        <f>SUM(B6:M6)</f>
        <v/>
      </c>
    </row>
    <row r="7">
      <c r="A7" s="3" t="inlineStr">
        <is>
          <t>通信費</t>
        </is>
      </c>
      <c r="B7" s="4">
        <f>SUMIF('202606'!$B:$B,$A7,'202606'!$D:$D)</f>
        <v/>
      </c>
      <c r="C7" s="4">
        <f>SUMIF('202607'!$B:$B,$A7,'202607'!$D:$D)</f>
        <v/>
      </c>
      <c r="D7" s="4">
        <f>SUMIF('202608'!$B:$B,$A7,'202608'!$D:$D)</f>
        <v/>
      </c>
      <c r="E7" s="4">
        <f>SUMIF('202609'!$B:$B,$A7,'202609'!$D:$D)</f>
        <v/>
      </c>
      <c r="F7" s="4">
        <f>SUMIF('202610'!$B:$B,$A7,'202610'!$D:$D)</f>
        <v/>
      </c>
      <c r="G7" s="4">
        <f>SUMIF('202611'!$B:$B,$A7,'202611'!$D:$D)</f>
        <v/>
      </c>
      <c r="H7" s="4">
        <f>SUMIF('202612'!$B:$B,$A7,'202612'!$D:$D)</f>
        <v/>
      </c>
      <c r="I7" s="4">
        <f>SUMIF('202701'!$B:$B,$A7,'202701'!$D:$D)</f>
        <v/>
      </c>
      <c r="J7" s="4">
        <f>SUMIF('202702'!$B:$B,$A7,'202702'!$D:$D)</f>
        <v/>
      </c>
      <c r="K7" s="4">
        <f>SUMIF('202703'!$B:$B,$A7,'202703'!$D:$D)</f>
        <v/>
      </c>
      <c r="L7" s="4">
        <f>SUMIF('202704'!$B:$B,$A7,'202704'!$D:$D)</f>
        <v/>
      </c>
      <c r="M7" s="4">
        <f>SUMIF('202705'!$B:$B,$A7,'202705'!$D:$D)</f>
        <v/>
      </c>
      <c r="N7" s="5">
        <f>SUM(B7:M7)</f>
        <v/>
      </c>
    </row>
    <row r="8">
      <c r="A8" s="3" t="inlineStr">
        <is>
          <t>旅費交通費</t>
        </is>
      </c>
      <c r="B8" s="4">
        <f>SUMIF('202606'!$B:$B,$A8,'202606'!$D:$D)</f>
        <v/>
      </c>
      <c r="C8" s="4">
        <f>SUMIF('202607'!$B:$B,$A8,'202607'!$D:$D)</f>
        <v/>
      </c>
      <c r="D8" s="4">
        <f>SUMIF('202608'!$B:$B,$A8,'202608'!$D:$D)</f>
        <v/>
      </c>
      <c r="E8" s="4">
        <f>SUMIF('202609'!$B:$B,$A8,'202609'!$D:$D)</f>
        <v/>
      </c>
      <c r="F8" s="4">
        <f>SUMIF('202610'!$B:$B,$A8,'202610'!$D:$D)</f>
        <v/>
      </c>
      <c r="G8" s="4">
        <f>SUMIF('202611'!$B:$B,$A8,'202611'!$D:$D)</f>
        <v/>
      </c>
      <c r="H8" s="4">
        <f>SUMIF('202612'!$B:$B,$A8,'202612'!$D:$D)</f>
        <v/>
      </c>
      <c r="I8" s="4">
        <f>SUMIF('202701'!$B:$B,$A8,'202701'!$D:$D)</f>
        <v/>
      </c>
      <c r="J8" s="4">
        <f>SUMIF('202702'!$B:$B,$A8,'202702'!$D:$D)</f>
        <v/>
      </c>
      <c r="K8" s="4">
        <f>SUMIF('202703'!$B:$B,$A8,'202703'!$D:$D)</f>
        <v/>
      </c>
      <c r="L8" s="4">
        <f>SUMIF('202704'!$B:$B,$A8,'202704'!$D:$D)</f>
        <v/>
      </c>
      <c r="M8" s="4">
        <f>SUMIF('202705'!$B:$B,$A8,'202705'!$D:$D)</f>
        <v/>
      </c>
      <c r="N8" s="5">
        <f>SUM(B8:M8)</f>
        <v/>
      </c>
    </row>
    <row r="9">
      <c r="A9" s="3" t="inlineStr">
        <is>
          <t>消耗品費</t>
        </is>
      </c>
      <c r="B9" s="4">
        <f>SUMIF('202606'!$B:$B,$A9,'202606'!$D:$D)</f>
        <v/>
      </c>
      <c r="C9" s="4">
        <f>SUMIF('202607'!$B:$B,$A9,'202607'!$D:$D)</f>
        <v/>
      </c>
      <c r="D9" s="4">
        <f>SUMIF('202608'!$B:$B,$A9,'202608'!$D:$D)</f>
        <v/>
      </c>
      <c r="E9" s="4">
        <f>SUMIF('202609'!$B:$B,$A9,'202609'!$D:$D)</f>
        <v/>
      </c>
      <c r="F9" s="4">
        <f>SUMIF('202610'!$B:$B,$A9,'202610'!$D:$D)</f>
        <v/>
      </c>
      <c r="G9" s="4">
        <f>SUMIF('202611'!$B:$B,$A9,'202611'!$D:$D)</f>
        <v/>
      </c>
      <c r="H9" s="4">
        <f>SUMIF('202612'!$B:$B,$A9,'202612'!$D:$D)</f>
        <v/>
      </c>
      <c r="I9" s="4">
        <f>SUMIF('202701'!$B:$B,$A9,'202701'!$D:$D)</f>
        <v/>
      </c>
      <c r="J9" s="4">
        <f>SUMIF('202702'!$B:$B,$A9,'202702'!$D:$D)</f>
        <v/>
      </c>
      <c r="K9" s="4">
        <f>SUMIF('202703'!$B:$B,$A9,'202703'!$D:$D)</f>
        <v/>
      </c>
      <c r="L9" s="4">
        <f>SUMIF('202704'!$B:$B,$A9,'202704'!$D:$D)</f>
        <v/>
      </c>
      <c r="M9" s="4">
        <f>SUMIF('202705'!$B:$B,$A9,'202705'!$D:$D)</f>
        <v/>
      </c>
      <c r="N9" s="5">
        <f>SUM(B9:M9)</f>
        <v/>
      </c>
    </row>
    <row r="10">
      <c r="A10" s="3" t="inlineStr">
        <is>
          <t>租税公課</t>
        </is>
      </c>
      <c r="B10" s="4">
        <f>SUMIF('202606'!$B:$B,$A10,'202606'!$D:$D)</f>
        <v/>
      </c>
      <c r="C10" s="4">
        <f>SUMIF('202607'!$B:$B,$A10,'202607'!$D:$D)</f>
        <v/>
      </c>
      <c r="D10" s="4">
        <f>SUMIF('202608'!$B:$B,$A10,'202608'!$D:$D)</f>
        <v/>
      </c>
      <c r="E10" s="4">
        <f>SUMIF('202609'!$B:$B,$A10,'202609'!$D:$D)</f>
        <v/>
      </c>
      <c r="F10" s="4">
        <f>SUMIF('202610'!$B:$B,$A10,'202610'!$D:$D)</f>
        <v/>
      </c>
      <c r="G10" s="4">
        <f>SUMIF('202611'!$B:$B,$A10,'202611'!$D:$D)</f>
        <v/>
      </c>
      <c r="H10" s="4">
        <f>SUMIF('202612'!$B:$B,$A10,'202612'!$D:$D)</f>
        <v/>
      </c>
      <c r="I10" s="4">
        <f>SUMIF('202701'!$B:$B,$A10,'202701'!$D:$D)</f>
        <v/>
      </c>
      <c r="J10" s="4">
        <f>SUMIF('202702'!$B:$B,$A10,'202702'!$D:$D)</f>
        <v/>
      </c>
      <c r="K10" s="4">
        <f>SUMIF('202703'!$B:$B,$A10,'202703'!$D:$D)</f>
        <v/>
      </c>
      <c r="L10" s="4">
        <f>SUMIF('202704'!$B:$B,$A10,'202704'!$D:$D)</f>
        <v/>
      </c>
      <c r="M10" s="4">
        <f>SUMIF('202705'!$B:$B,$A10,'202705'!$D:$D)</f>
        <v/>
      </c>
      <c r="N10" s="5">
        <f>SUM(B10:M10)</f>
        <v/>
      </c>
    </row>
    <row r="11">
      <c r="A11" s="3" t="inlineStr">
        <is>
          <t>修繕費</t>
        </is>
      </c>
      <c r="B11" s="4">
        <f>SUMIF('202606'!$B:$B,$A11,'202606'!$D:$D)</f>
        <v/>
      </c>
      <c r="C11" s="4">
        <f>SUMIF('202607'!$B:$B,$A11,'202607'!$D:$D)</f>
        <v/>
      </c>
      <c r="D11" s="4">
        <f>SUMIF('202608'!$B:$B,$A11,'202608'!$D:$D)</f>
        <v/>
      </c>
      <c r="E11" s="4">
        <f>SUMIF('202609'!$B:$B,$A11,'202609'!$D:$D)</f>
        <v/>
      </c>
      <c r="F11" s="4">
        <f>SUMIF('202610'!$B:$B,$A11,'202610'!$D:$D)</f>
        <v/>
      </c>
      <c r="G11" s="4">
        <f>SUMIF('202611'!$B:$B,$A11,'202611'!$D:$D)</f>
        <v/>
      </c>
      <c r="H11" s="4">
        <f>SUMIF('202612'!$B:$B,$A11,'202612'!$D:$D)</f>
        <v/>
      </c>
      <c r="I11" s="4">
        <f>SUMIF('202701'!$B:$B,$A11,'202701'!$D:$D)</f>
        <v/>
      </c>
      <c r="J11" s="4">
        <f>SUMIF('202702'!$B:$B,$A11,'202702'!$D:$D)</f>
        <v/>
      </c>
      <c r="K11" s="4">
        <f>SUMIF('202703'!$B:$B,$A11,'202703'!$D:$D)</f>
        <v/>
      </c>
      <c r="L11" s="4">
        <f>SUMIF('202704'!$B:$B,$A11,'202704'!$D:$D)</f>
        <v/>
      </c>
      <c r="M11" s="4">
        <f>SUMIF('202705'!$B:$B,$A11,'202705'!$D:$D)</f>
        <v/>
      </c>
      <c r="N11" s="5">
        <f>SUM(B11:M11)</f>
        <v/>
      </c>
    </row>
    <row r="12">
      <c r="A12" s="3" t="inlineStr">
        <is>
          <t>水道光熱費</t>
        </is>
      </c>
      <c r="B12" s="4">
        <f>SUMIF('202606'!$B:$B,$A12,'202606'!$D:$D)</f>
        <v/>
      </c>
      <c r="C12" s="4">
        <f>SUMIF('202607'!$B:$B,$A12,'202607'!$D:$D)</f>
        <v/>
      </c>
      <c r="D12" s="4">
        <f>SUMIF('202608'!$B:$B,$A12,'202608'!$D:$D)</f>
        <v/>
      </c>
      <c r="E12" s="4">
        <f>SUMIF('202609'!$B:$B,$A12,'202609'!$D:$D)</f>
        <v/>
      </c>
      <c r="F12" s="4">
        <f>SUMIF('202610'!$B:$B,$A12,'202610'!$D:$D)</f>
        <v/>
      </c>
      <c r="G12" s="4">
        <f>SUMIF('202611'!$B:$B,$A12,'202611'!$D:$D)</f>
        <v/>
      </c>
      <c r="H12" s="4">
        <f>SUMIF('202612'!$B:$B,$A12,'202612'!$D:$D)</f>
        <v/>
      </c>
      <c r="I12" s="4">
        <f>SUMIF('202701'!$B:$B,$A12,'202701'!$D:$D)</f>
        <v/>
      </c>
      <c r="J12" s="4">
        <f>SUMIF('202702'!$B:$B,$A12,'202702'!$D:$D)</f>
        <v/>
      </c>
      <c r="K12" s="4">
        <f>SUMIF('202703'!$B:$B,$A12,'202703'!$D:$D)</f>
        <v/>
      </c>
      <c r="L12" s="4">
        <f>SUMIF('202704'!$B:$B,$A12,'202704'!$D:$D)</f>
        <v/>
      </c>
      <c r="M12" s="4">
        <f>SUMIF('202705'!$B:$B,$A12,'202705'!$D:$D)</f>
        <v/>
      </c>
      <c r="N12" s="5">
        <f>SUM(B12:M12)</f>
        <v/>
      </c>
    </row>
    <row r="13">
      <c r="A13" s="3" t="inlineStr">
        <is>
          <t>福利厚生費</t>
        </is>
      </c>
      <c r="B13" s="4">
        <f>SUMIF('202606'!$B:$B,$A13,'202606'!$D:$D)</f>
        <v/>
      </c>
      <c r="C13" s="4">
        <f>SUMIF('202607'!$B:$B,$A13,'202607'!$D:$D)</f>
        <v/>
      </c>
      <c r="D13" s="4">
        <f>SUMIF('202608'!$B:$B,$A13,'202608'!$D:$D)</f>
        <v/>
      </c>
      <c r="E13" s="4">
        <f>SUMIF('202609'!$B:$B,$A13,'202609'!$D:$D)</f>
        <v/>
      </c>
      <c r="F13" s="4">
        <f>SUMIF('202610'!$B:$B,$A13,'202610'!$D:$D)</f>
        <v/>
      </c>
      <c r="G13" s="4">
        <f>SUMIF('202611'!$B:$B,$A13,'202611'!$D:$D)</f>
        <v/>
      </c>
      <c r="H13" s="4">
        <f>SUMIF('202612'!$B:$B,$A13,'202612'!$D:$D)</f>
        <v/>
      </c>
      <c r="I13" s="4">
        <f>SUMIF('202701'!$B:$B,$A13,'202701'!$D:$D)</f>
        <v/>
      </c>
      <c r="J13" s="4">
        <f>SUMIF('202702'!$B:$B,$A13,'202702'!$D:$D)</f>
        <v/>
      </c>
      <c r="K13" s="4">
        <f>SUMIF('202703'!$B:$B,$A13,'202703'!$D:$D)</f>
        <v/>
      </c>
      <c r="L13" s="4">
        <f>SUMIF('202704'!$B:$B,$A13,'202704'!$D:$D)</f>
        <v/>
      </c>
      <c r="M13" s="4">
        <f>SUMIF('202705'!$B:$B,$A13,'202705'!$D:$D)</f>
        <v/>
      </c>
      <c r="N13" s="5">
        <f>SUM(B13:M13)</f>
        <v/>
      </c>
    </row>
    <row r="14">
      <c r="A14" s="3" t="inlineStr">
        <is>
          <t>支払手数料</t>
        </is>
      </c>
      <c r="B14" s="4">
        <f>SUMIF('202606'!$B:$B,$A14,'202606'!$D:$D)</f>
        <v/>
      </c>
      <c r="C14" s="4">
        <f>SUMIF('202607'!$B:$B,$A14,'202607'!$D:$D)</f>
        <v/>
      </c>
      <c r="D14" s="4">
        <f>SUMIF('202608'!$B:$B,$A14,'202608'!$D:$D)</f>
        <v/>
      </c>
      <c r="E14" s="4">
        <f>SUMIF('202609'!$B:$B,$A14,'202609'!$D:$D)</f>
        <v/>
      </c>
      <c r="F14" s="4">
        <f>SUMIF('202610'!$B:$B,$A14,'202610'!$D:$D)</f>
        <v/>
      </c>
      <c r="G14" s="4">
        <f>SUMIF('202611'!$B:$B,$A14,'202611'!$D:$D)</f>
        <v/>
      </c>
      <c r="H14" s="4">
        <f>SUMIF('202612'!$B:$B,$A14,'202612'!$D:$D)</f>
        <v/>
      </c>
      <c r="I14" s="4">
        <f>SUMIF('202701'!$B:$B,$A14,'202701'!$D:$D)</f>
        <v/>
      </c>
      <c r="J14" s="4">
        <f>SUMIF('202702'!$B:$B,$A14,'202702'!$D:$D)</f>
        <v/>
      </c>
      <c r="K14" s="4">
        <f>SUMIF('202703'!$B:$B,$A14,'202703'!$D:$D)</f>
        <v/>
      </c>
      <c r="L14" s="4">
        <f>SUMIF('202704'!$B:$B,$A14,'202704'!$D:$D)</f>
        <v/>
      </c>
      <c r="M14" s="4">
        <f>SUMIF('202705'!$B:$B,$A14,'202705'!$D:$D)</f>
        <v/>
      </c>
      <c r="N14" s="5">
        <f>SUM(B14:M14)</f>
        <v/>
      </c>
    </row>
    <row r="15">
      <c r="A15" s="3" t="inlineStr">
        <is>
          <t>保険料</t>
        </is>
      </c>
      <c r="B15" s="4">
        <f>SUMIF('202606'!$B:$B,$A15,'202606'!$D:$D)</f>
        <v/>
      </c>
      <c r="C15" s="4">
        <f>SUMIF('202607'!$B:$B,$A15,'202607'!$D:$D)</f>
        <v/>
      </c>
      <c r="D15" s="4">
        <f>SUMIF('202608'!$B:$B,$A15,'202608'!$D:$D)</f>
        <v/>
      </c>
      <c r="E15" s="4">
        <f>SUMIF('202609'!$B:$B,$A15,'202609'!$D:$D)</f>
        <v/>
      </c>
      <c r="F15" s="4">
        <f>SUMIF('202610'!$B:$B,$A15,'202610'!$D:$D)</f>
        <v/>
      </c>
      <c r="G15" s="4">
        <f>SUMIF('202611'!$B:$B,$A15,'202611'!$D:$D)</f>
        <v/>
      </c>
      <c r="H15" s="4">
        <f>SUMIF('202612'!$B:$B,$A15,'202612'!$D:$D)</f>
        <v/>
      </c>
      <c r="I15" s="4">
        <f>SUMIF('202701'!$B:$B,$A15,'202701'!$D:$D)</f>
        <v/>
      </c>
      <c r="J15" s="4">
        <f>SUMIF('202702'!$B:$B,$A15,'202702'!$D:$D)</f>
        <v/>
      </c>
      <c r="K15" s="4">
        <f>SUMIF('202703'!$B:$B,$A15,'202703'!$D:$D)</f>
        <v/>
      </c>
      <c r="L15" s="4">
        <f>SUMIF('202704'!$B:$B,$A15,'202704'!$D:$D)</f>
        <v/>
      </c>
      <c r="M15" s="4">
        <f>SUMIF('202705'!$B:$B,$A15,'202705'!$D:$D)</f>
        <v/>
      </c>
      <c r="N15" s="5">
        <f>SUM(B15:M15)</f>
        <v/>
      </c>
    </row>
    <row r="16">
      <c r="A16" s="3" t="inlineStr">
        <is>
          <t>広告宣伝費</t>
        </is>
      </c>
      <c r="B16" s="4">
        <f>SUMIF('202606'!$B:$B,$A16,'202606'!$D:$D)</f>
        <v/>
      </c>
      <c r="C16" s="4">
        <f>SUMIF('202607'!$B:$B,$A16,'202607'!$D:$D)</f>
        <v/>
      </c>
      <c r="D16" s="4">
        <f>SUMIF('202608'!$B:$B,$A16,'202608'!$D:$D)</f>
        <v/>
      </c>
      <c r="E16" s="4">
        <f>SUMIF('202609'!$B:$B,$A16,'202609'!$D:$D)</f>
        <v/>
      </c>
      <c r="F16" s="4">
        <f>SUMIF('202610'!$B:$B,$A16,'202610'!$D:$D)</f>
        <v/>
      </c>
      <c r="G16" s="4">
        <f>SUMIF('202611'!$B:$B,$A16,'202611'!$D:$D)</f>
        <v/>
      </c>
      <c r="H16" s="4">
        <f>SUMIF('202612'!$B:$B,$A16,'202612'!$D:$D)</f>
        <v/>
      </c>
      <c r="I16" s="4">
        <f>SUMIF('202701'!$B:$B,$A16,'202701'!$D:$D)</f>
        <v/>
      </c>
      <c r="J16" s="4">
        <f>SUMIF('202702'!$B:$B,$A16,'202702'!$D:$D)</f>
        <v/>
      </c>
      <c r="K16" s="4">
        <f>SUMIF('202703'!$B:$B,$A16,'202703'!$D:$D)</f>
        <v/>
      </c>
      <c r="L16" s="4">
        <f>SUMIF('202704'!$B:$B,$A16,'202704'!$D:$D)</f>
        <v/>
      </c>
      <c r="M16" s="4">
        <f>SUMIF('202705'!$B:$B,$A16,'202705'!$D:$D)</f>
        <v/>
      </c>
      <c r="N16" s="5">
        <f>SUM(B16:M16)</f>
        <v/>
      </c>
    </row>
    <row r="17">
      <c r="A17" s="3" t="inlineStr">
        <is>
          <t>車輛燃料費</t>
        </is>
      </c>
      <c r="B17" s="4">
        <f>SUMIF('202606'!$B:$B,$A17,'202606'!$D:$D)</f>
        <v/>
      </c>
      <c r="C17" s="4">
        <f>SUMIF('202607'!$B:$B,$A17,'202607'!$D:$D)</f>
        <v/>
      </c>
      <c r="D17" s="4">
        <f>SUMIF('202608'!$B:$B,$A17,'202608'!$D:$D)</f>
        <v/>
      </c>
      <c r="E17" s="4">
        <f>SUMIF('202609'!$B:$B,$A17,'202609'!$D:$D)</f>
        <v/>
      </c>
      <c r="F17" s="4">
        <f>SUMIF('202610'!$B:$B,$A17,'202610'!$D:$D)</f>
        <v/>
      </c>
      <c r="G17" s="4">
        <f>SUMIF('202611'!$B:$B,$A17,'202611'!$D:$D)</f>
        <v/>
      </c>
      <c r="H17" s="4">
        <f>SUMIF('202612'!$B:$B,$A17,'202612'!$D:$D)</f>
        <v/>
      </c>
      <c r="I17" s="4">
        <f>SUMIF('202701'!$B:$B,$A17,'202701'!$D:$D)</f>
        <v/>
      </c>
      <c r="J17" s="4">
        <f>SUMIF('202702'!$B:$B,$A17,'202702'!$D:$D)</f>
        <v/>
      </c>
      <c r="K17" s="4">
        <f>SUMIF('202703'!$B:$B,$A17,'202703'!$D:$D)</f>
        <v/>
      </c>
      <c r="L17" s="4">
        <f>SUMIF('202704'!$B:$B,$A17,'202704'!$D:$D)</f>
        <v/>
      </c>
      <c r="M17" s="4">
        <f>SUMIF('202705'!$B:$B,$A17,'202705'!$D:$D)</f>
        <v/>
      </c>
      <c r="N17" s="5">
        <f>SUM(B17:M17)</f>
        <v/>
      </c>
    </row>
    <row r="18">
      <c r="A18" s="3" t="inlineStr">
        <is>
          <t>工具、器具及び備品</t>
        </is>
      </c>
      <c r="B18" s="4">
        <f>SUMIF('202606'!$B:$B,$A18,'202606'!$D:$D)</f>
        <v/>
      </c>
      <c r="C18" s="4">
        <f>SUMIF('202607'!$B:$B,$A18,'202607'!$D:$D)</f>
        <v/>
      </c>
      <c r="D18" s="4">
        <f>SUMIF('202608'!$B:$B,$A18,'202608'!$D:$D)</f>
        <v/>
      </c>
      <c r="E18" s="4">
        <f>SUMIF('202609'!$B:$B,$A18,'202609'!$D:$D)</f>
        <v/>
      </c>
      <c r="F18" s="4">
        <f>SUMIF('202610'!$B:$B,$A18,'202610'!$D:$D)</f>
        <v/>
      </c>
      <c r="G18" s="4">
        <f>SUMIF('202611'!$B:$B,$A18,'202611'!$D:$D)</f>
        <v/>
      </c>
      <c r="H18" s="4">
        <f>SUMIF('202612'!$B:$B,$A18,'202612'!$D:$D)</f>
        <v/>
      </c>
      <c r="I18" s="4">
        <f>SUMIF('202701'!$B:$B,$A18,'202701'!$D:$D)</f>
        <v/>
      </c>
      <c r="J18" s="4">
        <f>SUMIF('202702'!$B:$B,$A18,'202702'!$D:$D)</f>
        <v/>
      </c>
      <c r="K18" s="4">
        <f>SUMIF('202703'!$B:$B,$A18,'202703'!$D:$D)</f>
        <v/>
      </c>
      <c r="L18" s="4">
        <f>SUMIF('202704'!$B:$B,$A18,'202704'!$D:$D)</f>
        <v/>
      </c>
      <c r="M18" s="4">
        <f>SUMIF('202705'!$B:$B,$A18,'202705'!$D:$D)</f>
        <v/>
      </c>
      <c r="N18" s="5">
        <f>SUM(B18:M18)</f>
        <v/>
      </c>
    </row>
    <row r="19">
      <c r="A19" s="6" t="inlineStr">
        <is>
          <t>科目合計</t>
        </is>
      </c>
      <c r="B19" s="7">
        <f>SUM(B2:B18)</f>
        <v/>
      </c>
      <c r="C19" s="7">
        <f>SUM(C2:C18)</f>
        <v/>
      </c>
      <c r="D19" s="7">
        <f>SUM(D2:D18)</f>
        <v/>
      </c>
      <c r="E19" s="7">
        <f>SUM(E2:E18)</f>
        <v/>
      </c>
      <c r="F19" s="7">
        <f>SUM(F2:F18)</f>
        <v/>
      </c>
      <c r="G19" s="7">
        <f>SUM(G2:G18)</f>
        <v/>
      </c>
      <c r="H19" s="7">
        <f>SUM(H2:H18)</f>
        <v/>
      </c>
      <c r="I19" s="7">
        <f>SUM(I2:I18)</f>
        <v/>
      </c>
      <c r="J19" s="7">
        <f>SUM(J2:J18)</f>
        <v/>
      </c>
      <c r="K19" s="7">
        <f>SUM(K2:K18)</f>
        <v/>
      </c>
      <c r="L19" s="7">
        <f>SUM(L2:L18)</f>
        <v/>
      </c>
      <c r="M19" s="7">
        <f>SUM(M2:M18)</f>
        <v/>
      </c>
      <c r="N19" s="7">
        <f>SUM(N2:N18)</f>
        <v/>
      </c>
    </row>
    <row r="20">
      <c r="A20" s="8" t="inlineStr">
        <is>
          <t>支払総額（各月シートD列）</t>
        </is>
      </c>
      <c r="B20" s="4">
        <f>SUM('202606'!$D:$D)</f>
        <v/>
      </c>
      <c r="C20" s="4">
        <f>SUM('202607'!$D:$D)</f>
        <v/>
      </c>
      <c r="D20" s="4">
        <f>SUM('202608'!$D:$D)</f>
        <v/>
      </c>
      <c r="E20" s="4">
        <f>SUM('202609'!$D:$D)</f>
        <v/>
      </c>
      <c r="F20" s="4">
        <f>SUM('202610'!$D:$D)</f>
        <v/>
      </c>
      <c r="G20" s="4">
        <f>SUM('202611'!$D:$D)</f>
        <v/>
      </c>
      <c r="H20" s="4">
        <f>SUM('202612'!$D:$D)</f>
        <v/>
      </c>
      <c r="I20" s="4">
        <f>SUM('202701'!$D:$D)</f>
        <v/>
      </c>
      <c r="J20" s="4">
        <f>SUM('202702'!$D:$D)</f>
        <v/>
      </c>
      <c r="K20" s="4">
        <f>SUM('202703'!$D:$D)</f>
        <v/>
      </c>
      <c r="L20" s="4">
        <f>SUM('202704'!$D:$D)</f>
        <v/>
      </c>
      <c r="M20" s="4">
        <f>SUM('202705'!$D:$D)</f>
        <v/>
      </c>
      <c r="N20" s="4">
        <f>SUM(B20:M20)</f>
        <v/>
      </c>
    </row>
    <row r="21">
      <c r="A21" s="9" t="inlineStr">
        <is>
          <t>差額（科目未入力チェック）</t>
        </is>
      </c>
      <c r="B21" s="4">
        <f>B20-B19</f>
        <v/>
      </c>
      <c r="C21" s="4">
        <f>C20-C19</f>
        <v/>
      </c>
      <c r="D21" s="4">
        <f>D20-D19</f>
        <v/>
      </c>
      <c r="E21" s="4">
        <f>E20-E19</f>
        <v/>
      </c>
      <c r="F21" s="4">
        <f>F20-F19</f>
        <v/>
      </c>
      <c r="G21" s="4">
        <f>G20-G19</f>
        <v/>
      </c>
      <c r="H21" s="4">
        <f>H20-H19</f>
        <v/>
      </c>
      <c r="I21" s="4">
        <f>I20-I19</f>
        <v/>
      </c>
      <c r="J21" s="4">
        <f>J20-J19</f>
        <v/>
      </c>
      <c r="K21" s="4">
        <f>K20-K19</f>
        <v/>
      </c>
      <c r="L21" s="4">
        <f>L20-L19</f>
        <v/>
      </c>
      <c r="M21" s="4">
        <f>M20-M19</f>
        <v/>
      </c>
      <c r="N21" s="4">
        <f>N20-N19</f>
        <v/>
      </c>
    </row>
    <row r="23">
      <c r="A23" s="10" t="inlineStr">
        <is>
          <t>※ 各月シート（202606〜202705）のB列「科目」とD列「支払金額」から自動集計しています。</t>
        </is>
      </c>
    </row>
    <row r="24">
      <c r="A24" s="10" t="inlineStr">
        <is>
          <t>※ 行を追加するときは、各月シートの表の中（2行目以降）に入力してください。列全体を参照しているため何行でも集計されます。</t>
        </is>
      </c>
    </row>
    <row r="25">
      <c r="A25" s="10" t="inlineStr">
        <is>
          <t>※ B列の科目はこのシートのA列から選択できます。科目を増やすときはA列に追記し、上の合計式の範囲を広げてください。</t>
        </is>
      </c>
    </row>
    <row r="26">
      <c r="A26" s="10" t="inlineStr">
        <is>
          <t>※「差額」が0以外のときは、科目が未入力または表記ゆれの行があります。</t>
        </is>
      </c>
    </row>
    <row r="27">
      <c r="A27" s="10" t="inlineStr">
        <is>
          <t>※ 入金（収入）は集計対象外です。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11" t="n">
        <v>46203</v>
      </c>
      <c r="B2" s="3" t="inlineStr">
        <is>
          <t>雑費</t>
        </is>
      </c>
      <c r="C2" s="3" t="inlineStr">
        <is>
          <t>使用料　大広戸</t>
        </is>
      </c>
      <c r="D2" s="4" t="n">
        <v>12000</v>
      </c>
    </row>
    <row r="3">
      <c r="A3" s="11" t="n">
        <v>46203</v>
      </c>
      <c r="B3" s="3" t="inlineStr">
        <is>
          <t>リース料</t>
        </is>
      </c>
      <c r="C3" s="3" t="inlineStr">
        <is>
          <t>車1台　泰光</t>
        </is>
      </c>
      <c r="D3" s="4" t="n">
        <v>50000</v>
      </c>
    </row>
    <row r="4">
      <c r="A4" s="11" t="n">
        <v>46203</v>
      </c>
      <c r="B4" s="3" t="inlineStr">
        <is>
          <t>賃借料</t>
        </is>
      </c>
      <c r="C4" s="3" t="inlineStr">
        <is>
          <t>本店　泰光</t>
        </is>
      </c>
      <c r="D4" s="4" t="n">
        <v>100000</v>
      </c>
    </row>
    <row r="5">
      <c r="A5" s="11" t="n">
        <v>46203</v>
      </c>
      <c r="B5" s="3" t="inlineStr">
        <is>
          <t>賃借料</t>
        </is>
      </c>
      <c r="C5" s="3" t="inlineStr">
        <is>
          <t>駐車場　泰光</t>
        </is>
      </c>
      <c r="D5" s="4" t="n">
        <v>50000</v>
      </c>
    </row>
    <row r="6">
      <c r="A6" s="11" t="n">
        <v>46203</v>
      </c>
      <c r="B6" s="3" t="inlineStr">
        <is>
          <t>雑費</t>
        </is>
      </c>
      <c r="C6" s="3" t="inlineStr">
        <is>
          <t>カスミ　食品</t>
        </is>
      </c>
      <c r="D6" s="4" t="n">
        <v>8212</v>
      </c>
    </row>
    <row r="7">
      <c r="A7" s="11" t="n">
        <v>46203</v>
      </c>
      <c r="B7" s="3" t="inlineStr">
        <is>
          <t>接待交際費</t>
        </is>
      </c>
      <c r="C7" s="3" t="inlineStr">
        <is>
          <t>カラオケ　まねきねこ</t>
        </is>
      </c>
      <c r="D7" s="4" t="n">
        <v>13613</v>
      </c>
    </row>
    <row r="8">
      <c r="A8" s="11" t="n">
        <v>46203</v>
      </c>
      <c r="B8" s="3" t="inlineStr">
        <is>
          <t>消耗品費</t>
        </is>
      </c>
      <c r="C8" s="3" t="inlineStr">
        <is>
          <t>マルエツ　ぞうきん</t>
        </is>
      </c>
      <c r="D8" s="4" t="n">
        <v>1094</v>
      </c>
    </row>
    <row r="9">
      <c r="A9" s="11" t="n">
        <v>46203</v>
      </c>
      <c r="B9" s="3" t="inlineStr">
        <is>
          <t>消耗品費</t>
        </is>
      </c>
      <c r="C9" s="3" t="inlineStr">
        <is>
          <t>マルエツ　ぞうきん</t>
        </is>
      </c>
      <c r="D9" s="4" t="n">
        <v>1094</v>
      </c>
    </row>
    <row r="10">
      <c r="A10" s="11" t="n">
        <v>46203</v>
      </c>
      <c r="B10" s="3" t="inlineStr">
        <is>
          <t>会議費</t>
        </is>
      </c>
      <c r="C10" s="3" t="inlineStr">
        <is>
          <t>魚菊　食事</t>
        </is>
      </c>
      <c r="D10" s="4" t="n">
        <v>4300</v>
      </c>
    </row>
    <row r="11">
      <c r="A11" s="11" t="n">
        <v>46203</v>
      </c>
      <c r="B11" s="3" t="inlineStr">
        <is>
          <t>通信費</t>
        </is>
      </c>
      <c r="C11" s="3" t="inlineStr">
        <is>
          <t>レターパック</t>
        </is>
      </c>
      <c r="D11" s="4" t="n">
        <v>86000</v>
      </c>
    </row>
    <row r="12">
      <c r="A12" s="11" t="n">
        <v>46203</v>
      </c>
      <c r="B12" s="3" t="inlineStr">
        <is>
          <t>旅費交通費</t>
        </is>
      </c>
      <c r="C12" s="3" t="inlineStr">
        <is>
          <t>キップ</t>
        </is>
      </c>
      <c r="D12" s="4" t="n">
        <v>10000</v>
      </c>
    </row>
    <row r="13">
      <c r="A13" s="11" t="n">
        <v>46203</v>
      </c>
      <c r="B13" s="3" t="inlineStr">
        <is>
          <t>消耗品費</t>
        </is>
      </c>
      <c r="C13" s="3" t="inlineStr">
        <is>
          <t>食洗機</t>
        </is>
      </c>
      <c r="D13" s="4" t="n">
        <v>270600</v>
      </c>
    </row>
    <row r="14">
      <c r="A14" s="11" t="n">
        <v>46203</v>
      </c>
      <c r="B14" s="3" t="inlineStr">
        <is>
          <t>通信費</t>
        </is>
      </c>
      <c r="C14" s="3" t="inlineStr">
        <is>
          <t>電話　2025/6～　固定　その1</t>
        </is>
      </c>
      <c r="D14" s="4" t="n">
        <v>494245</v>
      </c>
    </row>
    <row r="15">
      <c r="A15" s="11" t="n">
        <v>46203</v>
      </c>
      <c r="B15" s="3" t="inlineStr">
        <is>
          <t>通信費</t>
        </is>
      </c>
      <c r="C15" s="3" t="inlineStr">
        <is>
          <t>電話　2025/6～　その2</t>
        </is>
      </c>
      <c r="D15" s="4" t="n">
        <v>102229</v>
      </c>
    </row>
    <row r="16">
      <c r="A16" s="11" t="n">
        <v>46203</v>
      </c>
      <c r="B16" s="3" t="inlineStr">
        <is>
          <t>消耗品費</t>
        </is>
      </c>
      <c r="C16" s="3" t="inlineStr">
        <is>
          <t>冷蔵庫　所沢</t>
        </is>
      </c>
      <c r="D16" s="4" t="n">
        <v>76980</v>
      </c>
    </row>
    <row r="17">
      <c r="A17" s="11" t="n">
        <v>46203</v>
      </c>
      <c r="B17" s="3" t="inlineStr">
        <is>
          <t>消耗品費</t>
        </is>
      </c>
      <c r="C17" s="3" t="inlineStr">
        <is>
          <t>冷蔵庫　足柄</t>
        </is>
      </c>
      <c r="D17" s="4" t="n">
        <v>76980</v>
      </c>
    </row>
    <row r="18">
      <c r="A18" s="11" t="n">
        <v>46203</v>
      </c>
      <c r="B18" s="3" t="inlineStr">
        <is>
          <t>消耗品費</t>
        </is>
      </c>
      <c r="C18" s="3" t="inlineStr">
        <is>
          <t>備品　5台</t>
        </is>
      </c>
      <c r="D18" s="4" t="n">
        <v>124333</v>
      </c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inlineStr">
        <is>
          <t>接待交際費</t>
        </is>
      </c>
      <c r="C2" s="3" t="inlineStr">
        <is>
          <t>おせいぼ　カスミ</t>
        </is>
      </c>
      <c r="D2" s="4" t="n">
        <v>61492</v>
      </c>
    </row>
    <row r="3">
      <c r="A3" s="3" t="n"/>
      <c r="B3" s="3" t="inlineStr">
        <is>
          <t>賃借料</t>
        </is>
      </c>
      <c r="C3" s="3" t="inlineStr">
        <is>
          <t>本店　泰光</t>
        </is>
      </c>
      <c r="D3" s="4" t="n">
        <v>100000</v>
      </c>
    </row>
    <row r="4">
      <c r="A4" s="3" t="n"/>
      <c r="B4" s="3" t="inlineStr">
        <is>
          <t>リース料</t>
        </is>
      </c>
      <c r="C4" s="3" t="inlineStr">
        <is>
          <t>車1台　泰光</t>
        </is>
      </c>
      <c r="D4" s="4" t="n">
        <v>50000</v>
      </c>
    </row>
    <row r="5">
      <c r="A5" s="3" t="n"/>
      <c r="B5" s="3" t="inlineStr">
        <is>
          <t>賃借料</t>
        </is>
      </c>
      <c r="C5" s="3" t="inlineStr">
        <is>
          <t>駐車場　泰光</t>
        </is>
      </c>
      <c r="D5" s="4" t="n">
        <v>50000</v>
      </c>
    </row>
    <row r="6">
      <c r="A6" s="3" t="n"/>
      <c r="B6" s="3" t="inlineStr">
        <is>
          <t>リース料</t>
        </is>
      </c>
      <c r="C6" s="3" t="inlineStr">
        <is>
          <t>コンピューター　リース</t>
        </is>
      </c>
      <c r="D6" s="4" t="n">
        <v>147000</v>
      </c>
    </row>
    <row r="7">
      <c r="A7" s="3" t="n"/>
      <c r="B7" s="3" t="inlineStr">
        <is>
          <t>通信費</t>
        </is>
      </c>
      <c r="C7" s="3" t="inlineStr">
        <is>
          <t>レターパック</t>
        </is>
      </c>
      <c r="D7" s="4" t="n">
        <v>43000</v>
      </c>
    </row>
    <row r="8">
      <c r="A8" s="3" t="n"/>
      <c r="B8" s="3" t="inlineStr">
        <is>
          <t>租税公課</t>
        </is>
      </c>
      <c r="C8" s="3" t="inlineStr">
        <is>
          <t>印紙代</t>
        </is>
      </c>
      <c r="D8" s="4" t="n">
        <v>10000</v>
      </c>
    </row>
    <row r="9">
      <c r="A9" s="3" t="n"/>
      <c r="B9" s="3" t="inlineStr">
        <is>
          <t>会議費</t>
        </is>
      </c>
      <c r="C9" s="3" t="inlineStr">
        <is>
          <t>ちよだ　食事代</t>
        </is>
      </c>
      <c r="D9" s="4" t="n">
        <v>3840</v>
      </c>
    </row>
    <row r="10">
      <c r="A10" s="3" t="n"/>
      <c r="B10" s="3" t="inlineStr">
        <is>
          <t>消耗品費</t>
        </is>
      </c>
      <c r="C10" s="3" t="inlineStr">
        <is>
          <t>マルエツ　ぞうきん</t>
        </is>
      </c>
      <c r="D10" s="4" t="n">
        <v>1094</v>
      </c>
    </row>
    <row r="11">
      <c r="A11" s="3" t="n"/>
      <c r="B11" s="3" t="inlineStr">
        <is>
          <t>接待交際費</t>
        </is>
      </c>
      <c r="C11" s="3" t="inlineStr">
        <is>
          <t>酒　みやげ　レイク</t>
        </is>
      </c>
      <c r="D11" s="4" t="n">
        <v>5724</v>
      </c>
    </row>
    <row r="12">
      <c r="A12" s="3" t="n"/>
      <c r="B12" s="3" t="inlineStr">
        <is>
          <t>通信費</t>
        </is>
      </c>
      <c r="C12" s="3" t="inlineStr">
        <is>
          <t>レターパック</t>
        </is>
      </c>
      <c r="D12" s="4" t="n">
        <v>43000</v>
      </c>
    </row>
    <row r="13">
      <c r="A13" s="3" t="n"/>
      <c r="B13" s="3" t="inlineStr">
        <is>
          <t>租税公課</t>
        </is>
      </c>
      <c r="C13" s="3" t="inlineStr">
        <is>
          <t>車　証明書</t>
        </is>
      </c>
      <c r="D13" s="4" t="n">
        <v>200</v>
      </c>
    </row>
    <row r="14">
      <c r="A14" s="3" t="n"/>
      <c r="B14" s="3" t="inlineStr">
        <is>
          <t>旅費交通費</t>
        </is>
      </c>
      <c r="C14" s="3" t="inlineStr">
        <is>
          <t>定期代　3ヶ月　トヤニ</t>
        </is>
      </c>
      <c r="D14" s="4" t="n">
        <v>17780</v>
      </c>
    </row>
    <row r="15">
      <c r="A15" s="3" t="n"/>
      <c r="B15" s="3" t="inlineStr">
        <is>
          <t>消耗品費</t>
        </is>
      </c>
      <c r="C15" s="3" t="inlineStr">
        <is>
          <t>マルエツ　ぞうきん</t>
        </is>
      </c>
      <c r="D15" s="4" t="n">
        <v>1094</v>
      </c>
    </row>
    <row r="16">
      <c r="A16" s="3" t="n"/>
      <c r="B16" s="3" t="inlineStr">
        <is>
          <t>消耗品費</t>
        </is>
      </c>
      <c r="C16" s="3" t="inlineStr">
        <is>
          <t>マルエツ　ぞうきん</t>
        </is>
      </c>
      <c r="D16" s="4" t="n">
        <v>1094</v>
      </c>
    </row>
    <row r="17">
      <c r="A17" s="3" t="n"/>
      <c r="B17" s="3" t="inlineStr">
        <is>
          <t>通信費</t>
        </is>
      </c>
      <c r="C17" s="3" t="inlineStr">
        <is>
          <t>レターパック</t>
        </is>
      </c>
      <c r="D17" s="4" t="n">
        <v>43000</v>
      </c>
    </row>
    <row r="18">
      <c r="A18" s="3" t="n"/>
      <c r="B18" s="3" t="inlineStr">
        <is>
          <t>旅費交通費</t>
        </is>
      </c>
      <c r="C18" s="3" t="inlineStr">
        <is>
          <t>キップ</t>
        </is>
      </c>
      <c r="D18" s="4" t="n">
        <v>10000</v>
      </c>
    </row>
    <row r="19">
      <c r="A19" s="3" t="n"/>
      <c r="B19" s="3" t="inlineStr">
        <is>
          <t>通信費</t>
        </is>
      </c>
      <c r="C19" s="3" t="inlineStr">
        <is>
          <t>電話</t>
        </is>
      </c>
      <c r="D19" s="4" t="n">
        <v>171831</v>
      </c>
    </row>
    <row r="20">
      <c r="A20" s="3" t="n"/>
      <c r="B20" s="3" t="inlineStr">
        <is>
          <t>福利厚生費</t>
        </is>
      </c>
      <c r="C20" s="3" t="inlineStr">
        <is>
          <t>包寄　餅代</t>
        </is>
      </c>
      <c r="D20" s="4" t="n">
        <v>3600</v>
      </c>
    </row>
    <row r="21">
      <c r="A21" s="3" t="n"/>
      <c r="B21" s="3" t="inlineStr">
        <is>
          <t>消耗品費</t>
        </is>
      </c>
      <c r="C21" s="3" t="inlineStr">
        <is>
          <t>外付SSD</t>
        </is>
      </c>
      <c r="D21" s="4" t="n">
        <v>17800</v>
      </c>
    </row>
    <row r="22">
      <c r="A22" s="3" t="n"/>
      <c r="B22" s="3" t="inlineStr">
        <is>
          <t>接待交際費</t>
        </is>
      </c>
      <c r="C22" s="3" t="inlineStr">
        <is>
          <t>お礼　江原会計</t>
        </is>
      </c>
      <c r="D22" s="4" t="n">
        <v>30000</v>
      </c>
    </row>
    <row r="23">
      <c r="A23" s="3" t="n"/>
      <c r="B23" s="3" t="inlineStr">
        <is>
          <t>消耗品費</t>
        </is>
      </c>
      <c r="C23" s="3" t="inlineStr">
        <is>
          <t>横ボックス</t>
        </is>
      </c>
      <c r="D23" s="4" t="n">
        <v>5539</v>
      </c>
    </row>
    <row r="24">
      <c r="A24" s="3" t="n"/>
      <c r="B24" s="3" t="inlineStr">
        <is>
          <t>消耗品費</t>
        </is>
      </c>
      <c r="C24" s="3" t="inlineStr">
        <is>
          <t>スリッパラック</t>
        </is>
      </c>
      <c r="D24" s="4" t="n">
        <v>3135</v>
      </c>
    </row>
    <row r="25">
      <c r="A25" s="3" t="n"/>
      <c r="B25" s="3" t="inlineStr">
        <is>
          <t>消耗品費</t>
        </is>
      </c>
      <c r="C25" s="3" t="inlineStr">
        <is>
          <t>スリッパ5足</t>
        </is>
      </c>
      <c r="D25" s="4" t="n">
        <v>5000</v>
      </c>
    </row>
    <row r="26">
      <c r="A26" s="3" t="n"/>
      <c r="B26" s="3" t="inlineStr">
        <is>
          <t>雑費</t>
        </is>
      </c>
      <c r="C26" s="3" t="inlineStr">
        <is>
          <t>本代　事業承継関連</t>
        </is>
      </c>
      <c r="D26" s="4" t="n">
        <v>26230</v>
      </c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4" customWidth="1" min="4" max="4"/>
  </cols>
  <sheetData>
    <row r="1">
      <c r="A1" s="2" t="inlineStr">
        <is>
          <t>日付</t>
        </is>
      </c>
      <c r="B1" s="2" t="inlineStr">
        <is>
          <t>科目</t>
        </is>
      </c>
      <c r="C1" s="2" t="inlineStr">
        <is>
          <t>摘要</t>
        </is>
      </c>
      <c r="D1" s="2" t="inlineStr">
        <is>
          <t>支払金額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  <row r="102">
      <c r="A102" s="3" t="n"/>
      <c r="B102" s="3" t="n"/>
      <c r="C102" s="3" t="n"/>
      <c r="D102" s="4" t="n"/>
    </row>
    <row r="103">
      <c r="A103" s="3" t="n"/>
      <c r="B103" s="3" t="n"/>
      <c r="C103" s="3" t="n"/>
      <c r="D103" s="4" t="n"/>
    </row>
    <row r="104">
      <c r="A104" s="3" t="n"/>
      <c r="B104" s="3" t="n"/>
      <c r="C104" s="3" t="n"/>
      <c r="D104" s="4" t="n"/>
    </row>
    <row r="105">
      <c r="A105" s="3" t="n"/>
      <c r="B105" s="3" t="n"/>
      <c r="C105" s="3" t="n"/>
      <c r="D105" s="4" t="n"/>
    </row>
    <row r="106">
      <c r="A106" s="3" t="n"/>
      <c r="B106" s="3" t="n"/>
      <c r="C106" s="3" t="n"/>
      <c r="D106" s="4" t="n"/>
    </row>
    <row r="107">
      <c r="A107" s="3" t="n"/>
      <c r="B107" s="3" t="n"/>
      <c r="C107" s="3" t="n"/>
      <c r="D107" s="4" t="n"/>
    </row>
    <row r="108">
      <c r="A108" s="3" t="n"/>
      <c r="B108" s="3" t="n"/>
      <c r="C108" s="3" t="n"/>
      <c r="D108" s="4" t="n"/>
    </row>
    <row r="109">
      <c r="A109" s="3" t="n"/>
      <c r="B109" s="3" t="n"/>
      <c r="C109" s="3" t="n"/>
      <c r="D109" s="4" t="n"/>
    </row>
    <row r="110">
      <c r="A110" s="3" t="n"/>
      <c r="B110" s="3" t="n"/>
      <c r="C110" s="3" t="n"/>
      <c r="D110" s="4" t="n"/>
    </row>
    <row r="111">
      <c r="A111" s="3" t="n"/>
      <c r="B111" s="3" t="n"/>
      <c r="C111" s="3" t="n"/>
      <c r="D111" s="4" t="n"/>
    </row>
    <row r="112">
      <c r="A112" s="3" t="n"/>
      <c r="B112" s="3" t="n"/>
      <c r="C112" s="3" t="n"/>
      <c r="D112" s="4" t="n"/>
    </row>
    <row r="113">
      <c r="A113" s="3" t="n"/>
      <c r="B113" s="3" t="n"/>
      <c r="C113" s="3" t="n"/>
      <c r="D113" s="4" t="n"/>
    </row>
    <row r="114">
      <c r="A114" s="3" t="n"/>
      <c r="B114" s="3" t="n"/>
      <c r="C114" s="3" t="n"/>
      <c r="D114" s="4" t="n"/>
    </row>
    <row r="115">
      <c r="A115" s="3" t="n"/>
      <c r="B115" s="3" t="n"/>
      <c r="C115" s="3" t="n"/>
      <c r="D115" s="4" t="n"/>
    </row>
    <row r="116">
      <c r="A116" s="3" t="n"/>
      <c r="B116" s="3" t="n"/>
      <c r="C116" s="3" t="n"/>
      <c r="D116" s="4" t="n"/>
    </row>
    <row r="117">
      <c r="A117" s="3" t="n"/>
      <c r="B117" s="3" t="n"/>
      <c r="C117" s="3" t="n"/>
      <c r="D117" s="4" t="n"/>
    </row>
    <row r="118">
      <c r="A118" s="3" t="n"/>
      <c r="B118" s="3" t="n"/>
      <c r="C118" s="3" t="n"/>
      <c r="D118" s="4" t="n"/>
    </row>
    <row r="119">
      <c r="A119" s="3" t="n"/>
      <c r="B119" s="3" t="n"/>
      <c r="C119" s="3" t="n"/>
      <c r="D119" s="4" t="n"/>
    </row>
    <row r="120">
      <c r="A120" s="3" t="n"/>
      <c r="B120" s="3" t="n"/>
      <c r="C120" s="3" t="n"/>
      <c r="D120" s="4" t="n"/>
    </row>
    <row r="121">
      <c r="A121" s="3" t="n"/>
      <c r="B121" s="3" t="n"/>
      <c r="C121" s="3" t="n"/>
      <c r="D121" s="4" t="n"/>
    </row>
    <row r="122">
      <c r="A122" s="3" t="n"/>
      <c r="B122" s="3" t="n"/>
      <c r="C122" s="3" t="n"/>
      <c r="D122" s="4" t="n"/>
    </row>
    <row r="123">
      <c r="A123" s="3" t="n"/>
      <c r="B123" s="3" t="n"/>
      <c r="C123" s="3" t="n"/>
      <c r="D123" s="4" t="n"/>
    </row>
    <row r="124">
      <c r="A124" s="3" t="n"/>
      <c r="B124" s="3" t="n"/>
      <c r="C124" s="3" t="n"/>
      <c r="D124" s="4" t="n"/>
    </row>
    <row r="125">
      <c r="A125" s="3" t="n"/>
      <c r="B125" s="3" t="n"/>
      <c r="C125" s="3" t="n"/>
      <c r="D125" s="4" t="n"/>
    </row>
    <row r="126">
      <c r="A126" s="3" t="n"/>
      <c r="B126" s="3" t="n"/>
      <c r="C126" s="3" t="n"/>
      <c r="D126" s="4" t="n"/>
    </row>
    <row r="127">
      <c r="A127" s="3" t="n"/>
      <c r="B127" s="3" t="n"/>
      <c r="C127" s="3" t="n"/>
      <c r="D127" s="4" t="n"/>
    </row>
    <row r="128">
      <c r="A128" s="3" t="n"/>
      <c r="B128" s="3" t="n"/>
      <c r="C128" s="3" t="n"/>
      <c r="D128" s="4" t="n"/>
    </row>
    <row r="129">
      <c r="A129" s="3" t="n"/>
      <c r="B129" s="3" t="n"/>
      <c r="C129" s="3" t="n"/>
      <c r="D129" s="4" t="n"/>
    </row>
    <row r="130">
      <c r="A130" s="3" t="n"/>
      <c r="B130" s="3" t="n"/>
      <c r="C130" s="3" t="n"/>
      <c r="D130" s="4" t="n"/>
    </row>
    <row r="131">
      <c r="A131" s="3" t="n"/>
      <c r="B131" s="3" t="n"/>
      <c r="C131" s="3" t="n"/>
      <c r="D131" s="4" t="n"/>
    </row>
    <row r="132">
      <c r="A132" s="3" t="n"/>
      <c r="B132" s="3" t="n"/>
      <c r="C132" s="3" t="n"/>
      <c r="D132" s="4" t="n"/>
    </row>
    <row r="133">
      <c r="A133" s="3" t="n"/>
      <c r="B133" s="3" t="n"/>
      <c r="C133" s="3" t="n"/>
      <c r="D133" s="4" t="n"/>
    </row>
    <row r="134">
      <c r="A134" s="3" t="n"/>
      <c r="B134" s="3" t="n"/>
      <c r="C134" s="3" t="n"/>
      <c r="D134" s="4" t="n"/>
    </row>
    <row r="135">
      <c r="A135" s="3" t="n"/>
      <c r="B135" s="3" t="n"/>
      <c r="C135" s="3" t="n"/>
      <c r="D135" s="4" t="n"/>
    </row>
    <row r="136">
      <c r="A136" s="3" t="n"/>
      <c r="B136" s="3" t="n"/>
      <c r="C136" s="3" t="n"/>
      <c r="D136" s="4" t="n"/>
    </row>
    <row r="137">
      <c r="A137" s="3" t="n"/>
      <c r="B137" s="3" t="n"/>
      <c r="C137" s="3" t="n"/>
      <c r="D137" s="4" t="n"/>
    </row>
    <row r="138">
      <c r="A138" s="3" t="n"/>
      <c r="B138" s="3" t="n"/>
      <c r="C138" s="3" t="n"/>
      <c r="D138" s="4" t="n"/>
    </row>
    <row r="139">
      <c r="A139" s="3" t="n"/>
      <c r="B139" s="3" t="n"/>
      <c r="C139" s="3" t="n"/>
      <c r="D139" s="4" t="n"/>
    </row>
    <row r="140">
      <c r="A140" s="3" t="n"/>
      <c r="B140" s="3" t="n"/>
      <c r="C140" s="3" t="n"/>
      <c r="D140" s="4" t="n"/>
    </row>
    <row r="141">
      <c r="A141" s="3" t="n"/>
      <c r="B141" s="3" t="n"/>
      <c r="C141" s="3" t="n"/>
      <c r="D141" s="4" t="n"/>
    </row>
    <row r="142">
      <c r="A142" s="3" t="n"/>
      <c r="B142" s="3" t="n"/>
      <c r="C142" s="3" t="n"/>
      <c r="D142" s="4" t="n"/>
    </row>
    <row r="143">
      <c r="A143" s="3" t="n"/>
      <c r="B143" s="3" t="n"/>
      <c r="C143" s="3" t="n"/>
      <c r="D143" s="4" t="n"/>
    </row>
    <row r="144">
      <c r="A144" s="3" t="n"/>
      <c r="B144" s="3" t="n"/>
      <c r="C144" s="3" t="n"/>
      <c r="D144" s="4" t="n"/>
    </row>
    <row r="145">
      <c r="A145" s="3" t="n"/>
      <c r="B145" s="3" t="n"/>
      <c r="C145" s="3" t="n"/>
      <c r="D145" s="4" t="n"/>
    </row>
    <row r="146">
      <c r="A146" s="3" t="n"/>
      <c r="B146" s="3" t="n"/>
      <c r="C146" s="3" t="n"/>
      <c r="D146" s="4" t="n"/>
    </row>
    <row r="147">
      <c r="A147" s="3" t="n"/>
      <c r="B147" s="3" t="n"/>
      <c r="C147" s="3" t="n"/>
      <c r="D147" s="4" t="n"/>
    </row>
    <row r="148">
      <c r="A148" s="3" t="n"/>
      <c r="B148" s="3" t="n"/>
      <c r="C148" s="3" t="n"/>
      <c r="D148" s="4" t="n"/>
    </row>
    <row r="149">
      <c r="A149" s="3" t="n"/>
      <c r="B149" s="3" t="n"/>
      <c r="C149" s="3" t="n"/>
      <c r="D149" s="4" t="n"/>
    </row>
    <row r="150">
      <c r="A150" s="3" t="n"/>
      <c r="B150" s="3" t="n"/>
      <c r="C150" s="3" t="n"/>
      <c r="D150" s="4" t="n"/>
    </row>
    <row r="151">
      <c r="A151" s="3" t="n"/>
      <c r="B151" s="3" t="n"/>
      <c r="C151" s="3" t="n"/>
      <c r="D151" s="4" t="n"/>
    </row>
    <row r="152">
      <c r="A152" s="3" t="n"/>
      <c r="B152" s="3" t="n"/>
      <c r="C152" s="3" t="n"/>
      <c r="D152" s="4" t="n"/>
    </row>
    <row r="153">
      <c r="A153" s="3" t="n"/>
      <c r="B153" s="3" t="n"/>
      <c r="C153" s="3" t="n"/>
      <c r="D153" s="4" t="n"/>
    </row>
    <row r="154">
      <c r="A154" s="3" t="n"/>
      <c r="B154" s="3" t="n"/>
      <c r="C154" s="3" t="n"/>
      <c r="D154" s="4" t="n"/>
    </row>
    <row r="155">
      <c r="A155" s="3" t="n"/>
      <c r="B155" s="3" t="n"/>
      <c r="C155" s="3" t="n"/>
      <c r="D155" s="4" t="n"/>
    </row>
    <row r="156">
      <c r="A156" s="3" t="n"/>
      <c r="B156" s="3" t="n"/>
      <c r="C156" s="3" t="n"/>
      <c r="D156" s="4" t="n"/>
    </row>
    <row r="157">
      <c r="A157" s="3" t="n"/>
      <c r="B157" s="3" t="n"/>
      <c r="C157" s="3" t="n"/>
      <c r="D157" s="4" t="n"/>
    </row>
    <row r="158">
      <c r="A158" s="3" t="n"/>
      <c r="B158" s="3" t="n"/>
      <c r="C158" s="3" t="n"/>
      <c r="D158" s="4" t="n"/>
    </row>
    <row r="159">
      <c r="A159" s="3" t="n"/>
      <c r="B159" s="3" t="n"/>
      <c r="C159" s="3" t="n"/>
      <c r="D159" s="4" t="n"/>
    </row>
    <row r="160">
      <c r="A160" s="3" t="n"/>
      <c r="B160" s="3" t="n"/>
      <c r="C160" s="3" t="n"/>
      <c r="D160" s="4" t="n"/>
    </row>
    <row r="161">
      <c r="A161" s="3" t="n"/>
      <c r="B161" s="3" t="n"/>
      <c r="C161" s="3" t="n"/>
      <c r="D161" s="4" t="n"/>
    </row>
    <row r="162">
      <c r="A162" s="3" t="n"/>
      <c r="B162" s="3" t="n"/>
      <c r="C162" s="3" t="n"/>
      <c r="D162" s="4" t="n"/>
    </row>
    <row r="163">
      <c r="A163" s="3" t="n"/>
      <c r="B163" s="3" t="n"/>
      <c r="C163" s="3" t="n"/>
      <c r="D163" s="4" t="n"/>
    </row>
    <row r="164">
      <c r="A164" s="3" t="n"/>
      <c r="B164" s="3" t="n"/>
      <c r="C164" s="3" t="n"/>
      <c r="D164" s="4" t="n"/>
    </row>
    <row r="165">
      <c r="A165" s="3" t="n"/>
      <c r="B165" s="3" t="n"/>
      <c r="C165" s="3" t="n"/>
      <c r="D165" s="4" t="n"/>
    </row>
    <row r="166">
      <c r="A166" s="3" t="n"/>
      <c r="B166" s="3" t="n"/>
      <c r="C166" s="3" t="n"/>
      <c r="D166" s="4" t="n"/>
    </row>
    <row r="167">
      <c r="A167" s="3" t="n"/>
      <c r="B167" s="3" t="n"/>
      <c r="C167" s="3" t="n"/>
      <c r="D167" s="4" t="n"/>
    </row>
    <row r="168">
      <c r="A168" s="3" t="n"/>
      <c r="B168" s="3" t="n"/>
      <c r="C168" s="3" t="n"/>
      <c r="D168" s="4" t="n"/>
    </row>
    <row r="169">
      <c r="A169" s="3" t="n"/>
      <c r="B169" s="3" t="n"/>
      <c r="C169" s="3" t="n"/>
      <c r="D169" s="4" t="n"/>
    </row>
    <row r="170">
      <c r="A170" s="3" t="n"/>
      <c r="B170" s="3" t="n"/>
      <c r="C170" s="3" t="n"/>
      <c r="D170" s="4" t="n"/>
    </row>
    <row r="171">
      <c r="A171" s="3" t="n"/>
      <c r="B171" s="3" t="n"/>
      <c r="C171" s="3" t="n"/>
      <c r="D171" s="4" t="n"/>
    </row>
    <row r="172">
      <c r="A172" s="3" t="n"/>
      <c r="B172" s="3" t="n"/>
      <c r="C172" s="3" t="n"/>
      <c r="D172" s="4" t="n"/>
    </row>
    <row r="173">
      <c r="A173" s="3" t="n"/>
      <c r="B173" s="3" t="n"/>
      <c r="C173" s="3" t="n"/>
      <c r="D173" s="4" t="n"/>
    </row>
    <row r="174">
      <c r="A174" s="3" t="n"/>
      <c r="B174" s="3" t="n"/>
      <c r="C174" s="3" t="n"/>
      <c r="D174" s="4" t="n"/>
    </row>
    <row r="175">
      <c r="A175" s="3" t="n"/>
      <c r="B175" s="3" t="n"/>
      <c r="C175" s="3" t="n"/>
      <c r="D175" s="4" t="n"/>
    </row>
    <row r="176">
      <c r="A176" s="3" t="n"/>
      <c r="B176" s="3" t="n"/>
      <c r="C176" s="3" t="n"/>
      <c r="D176" s="4" t="n"/>
    </row>
    <row r="177">
      <c r="A177" s="3" t="n"/>
      <c r="B177" s="3" t="n"/>
      <c r="C177" s="3" t="n"/>
      <c r="D177" s="4" t="n"/>
    </row>
    <row r="178">
      <c r="A178" s="3" t="n"/>
      <c r="B178" s="3" t="n"/>
      <c r="C178" s="3" t="n"/>
      <c r="D178" s="4" t="n"/>
    </row>
    <row r="179">
      <c r="A179" s="3" t="n"/>
      <c r="B179" s="3" t="n"/>
      <c r="C179" s="3" t="n"/>
      <c r="D179" s="4" t="n"/>
    </row>
    <row r="180">
      <c r="A180" s="3" t="n"/>
      <c r="B180" s="3" t="n"/>
      <c r="C180" s="3" t="n"/>
      <c r="D180" s="4" t="n"/>
    </row>
    <row r="181">
      <c r="A181" s="3" t="n"/>
      <c r="B181" s="3" t="n"/>
      <c r="C181" s="3" t="n"/>
      <c r="D181" s="4" t="n"/>
    </row>
    <row r="182">
      <c r="A182" s="3" t="n"/>
      <c r="B182" s="3" t="n"/>
      <c r="C182" s="3" t="n"/>
      <c r="D182" s="4" t="n"/>
    </row>
    <row r="183">
      <c r="A183" s="3" t="n"/>
      <c r="B183" s="3" t="n"/>
      <c r="C183" s="3" t="n"/>
      <c r="D183" s="4" t="n"/>
    </row>
    <row r="184">
      <c r="A184" s="3" t="n"/>
      <c r="B184" s="3" t="n"/>
      <c r="C184" s="3" t="n"/>
      <c r="D184" s="4" t="n"/>
    </row>
    <row r="185">
      <c r="A185" s="3" t="n"/>
      <c r="B185" s="3" t="n"/>
      <c r="C185" s="3" t="n"/>
      <c r="D185" s="4" t="n"/>
    </row>
    <row r="186">
      <c r="A186" s="3" t="n"/>
      <c r="B186" s="3" t="n"/>
      <c r="C186" s="3" t="n"/>
      <c r="D186" s="4" t="n"/>
    </row>
    <row r="187">
      <c r="A187" s="3" t="n"/>
      <c r="B187" s="3" t="n"/>
      <c r="C187" s="3" t="n"/>
      <c r="D187" s="4" t="n"/>
    </row>
    <row r="188">
      <c r="A188" s="3" t="n"/>
      <c r="B188" s="3" t="n"/>
      <c r="C188" s="3" t="n"/>
      <c r="D188" s="4" t="n"/>
    </row>
    <row r="189">
      <c r="A189" s="3" t="n"/>
      <c r="B189" s="3" t="n"/>
      <c r="C189" s="3" t="n"/>
      <c r="D189" s="4" t="n"/>
    </row>
    <row r="190">
      <c r="A190" s="3" t="n"/>
      <c r="B190" s="3" t="n"/>
      <c r="C190" s="3" t="n"/>
      <c r="D190" s="4" t="n"/>
    </row>
    <row r="191">
      <c r="A191" s="3" t="n"/>
      <c r="B191" s="3" t="n"/>
      <c r="C191" s="3" t="n"/>
      <c r="D191" s="4" t="n"/>
    </row>
    <row r="192">
      <c r="A192" s="3" t="n"/>
      <c r="B192" s="3" t="n"/>
      <c r="C192" s="3" t="n"/>
      <c r="D192" s="4" t="n"/>
    </row>
    <row r="193">
      <c r="A193" s="3" t="n"/>
      <c r="B193" s="3" t="n"/>
      <c r="C193" s="3" t="n"/>
      <c r="D193" s="4" t="n"/>
    </row>
    <row r="194">
      <c r="A194" s="3" t="n"/>
      <c r="B194" s="3" t="n"/>
      <c r="C194" s="3" t="n"/>
      <c r="D194" s="4" t="n"/>
    </row>
    <row r="195">
      <c r="A195" s="3" t="n"/>
      <c r="B195" s="3" t="n"/>
      <c r="C195" s="3" t="n"/>
      <c r="D195" s="4" t="n"/>
    </row>
    <row r="196">
      <c r="A196" s="3" t="n"/>
      <c r="B196" s="3" t="n"/>
      <c r="C196" s="3" t="n"/>
      <c r="D196" s="4" t="n"/>
    </row>
    <row r="197">
      <c r="A197" s="3" t="n"/>
      <c r="B197" s="3" t="n"/>
      <c r="C197" s="3" t="n"/>
      <c r="D197" s="4" t="n"/>
    </row>
    <row r="198">
      <c r="A198" s="3" t="n"/>
      <c r="B198" s="3" t="n"/>
      <c r="C198" s="3" t="n"/>
      <c r="D198" s="4" t="n"/>
    </row>
    <row r="199">
      <c r="A199" s="3" t="n"/>
      <c r="B199" s="3" t="n"/>
      <c r="C199" s="3" t="n"/>
      <c r="D199" s="4" t="n"/>
    </row>
    <row r="200">
      <c r="A200" s="3" t="n"/>
      <c r="B200" s="3" t="n"/>
      <c r="C200" s="3" t="n"/>
      <c r="D200" s="4" t="n"/>
    </row>
    <row r="201">
      <c r="A201" s="3" t="n"/>
      <c r="B201" s="3" t="n"/>
      <c r="C201" s="3" t="n"/>
      <c r="D201" s="4" t="n"/>
    </row>
  </sheetData>
  <autoFilter ref="A1:D201"/>
  <dataValidations count="1">
    <dataValidation sqref="B2:B201" showDropDown="0" showInputMessage="0" showErrorMessage="0" allowBlank="1" errorTitle="科目が一致しません" error="勘定科目シートに登録されている科目から選んでください" type="list">
      <formula1>=勘定科目!$A$2:$A$18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2026-09-10T11:44:22Z</dcterms:created>
  <dcterms:modified xsi:type="dcterms:W3CDTF">2026-09-10T11:44:22Z</dcterms:modified>
</cp:coreProperties>
</file>