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15720" tabRatio="500" firstSheet="0" activeTab="0" autoFilterDateGrouping="1"/>
  </bookViews>
  <sheets>
    <sheet name="科目別集計" sheetId="1" state="visible" r:id="rId1"/>
    <sheet name="支払先別集計" sheetId="2" state="visible" r:id="rId2"/>
    <sheet name="202606" sheetId="3" state="visible" r:id="rId3"/>
    <sheet name="202607" sheetId="4" state="visible" r:id="rId4"/>
    <sheet name="202608" sheetId="5" state="visible" r:id="rId5"/>
    <sheet name="202609" sheetId="6" state="visible" r:id="rId6"/>
    <sheet name="202610" sheetId="7" state="visible" r:id="rId7"/>
    <sheet name="202611" sheetId="8" state="visible" r:id="rId8"/>
    <sheet name="202612" sheetId="9" state="visible" r:id="rId9"/>
    <sheet name="202701" sheetId="10" state="visible" r:id="rId10"/>
    <sheet name="202702" sheetId="11" state="visible" r:id="rId11"/>
    <sheet name="202703" sheetId="12" state="visible" r:id="rId12"/>
    <sheet name="202704" sheetId="13" state="visible" r:id="rId13"/>
    <sheet name="202705" sheetId="14" state="visible" r:id="rId14"/>
    <sheet name="支払先マスタ" sheetId="15" state="visible" r:id="rId15"/>
    <sheet name="原本_みずほ銀行" sheetId="16" state="visible" r:id="rId16"/>
    <sheet name="原本_武蔵野銀行" sheetId="17" state="visible" r:id="rId1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#,##0_);[Red]\(#,##0\)"/>
    <numFmt numFmtId="165" formatCode="#,##0_);[Red]\(#,##0\);\-_)"/>
  </numFmts>
  <fonts count="34">
    <font>
      <name val="Calibri"/>
      <charset val="1"/>
      <family val="2"/>
      <color theme="1"/>
      <sz val="11"/>
    </font>
    <font>
      <name val="Noto Sans JP"/>
      <charset val="128"/>
      <family val="3"/>
      <sz val="11"/>
    </font>
    <font>
      <name val="Noto Sans CJK SC"/>
      <charset val="1"/>
      <family val="2"/>
      <b val="1"/>
      <sz val="11"/>
    </font>
    <font>
      <name val="Noto Sans CJK SC"/>
      <charset val="1"/>
      <family val="2"/>
      <sz val="11"/>
    </font>
    <font>
      <name val="Noto Sans CJK SC"/>
      <charset val="1"/>
      <family val="2"/>
      <color rgb="FF000000"/>
      <sz val="11"/>
    </font>
    <font>
      <name val="Noto Sans CJK SC"/>
      <family val="2"/>
      <color rgb="FF000000"/>
      <sz val="11"/>
    </font>
    <font>
      <name val="ＭＳ ゴシック"/>
      <charset val="128"/>
      <family val="3"/>
      <color rgb="FF000000"/>
      <sz val="11"/>
    </font>
    <font>
      <name val="Noto Sans CJK SC"/>
      <charset val="128"/>
      <family val="3"/>
      <color rgb="FF000000"/>
      <sz val="11"/>
    </font>
    <font>
      <name val="Noto Sans CJK SC"/>
      <charset val="1"/>
      <family val="2"/>
      <color rgb="FFFF0000"/>
      <sz val="11"/>
    </font>
    <font>
      <name val="Noto Sans CJK SC"/>
      <family val="2"/>
      <color rgb="FFFF0000"/>
      <sz val="11"/>
    </font>
    <font>
      <name val="ＭＳ ゴシック"/>
      <charset val="128"/>
      <family val="3"/>
      <color rgb="FFFF0000"/>
      <sz val="11"/>
    </font>
    <font>
      <name val="Noto Sans JP"/>
      <charset val="128"/>
      <family val="3"/>
      <color rgb="FFFF0000"/>
      <sz val="11"/>
    </font>
    <font>
      <name val="Noto Sans CJK SC"/>
      <charset val="1"/>
      <family val="2"/>
      <i val="1"/>
      <color rgb="FF808080"/>
      <sz val="11"/>
    </font>
    <font>
      <name val="Noto Sans JP"/>
      <charset val="128"/>
      <family val="3"/>
      <b val="1"/>
      <sz val="11"/>
    </font>
    <font>
      <name val="Noto Sans CJK SC"/>
      <charset val="1"/>
      <family val="2"/>
      <color rgb="FF808080"/>
      <sz val="9"/>
    </font>
    <font>
      <name val="Noto Sans CJK SC"/>
      <family val="2"/>
      <b val="1"/>
      <sz val="11"/>
    </font>
    <font>
      <name val="Noto Sans CJK SC"/>
      <family val="2"/>
      <sz val="11"/>
    </font>
    <font>
      <name val="Noto Sans JP"/>
      <charset val="128"/>
      <family val="3"/>
      <color rgb="FF000000"/>
      <sz val="11"/>
    </font>
    <font>
      <name val="Noto Sans JP"/>
      <charset val="128"/>
      <family val="3"/>
      <b val="1"/>
      <color rgb="FF000000"/>
      <sz val="11"/>
    </font>
    <font>
      <name val="Noto Sans JP"/>
      <charset val="128"/>
      <family val="3"/>
      <color theme="1"/>
      <sz val="11"/>
    </font>
    <font>
      <name val="Noto Sans CJK SC"/>
      <family val="2"/>
      <color theme="1"/>
      <sz val="11"/>
    </font>
    <font>
      <name val="Noto Sans CJK SC"/>
      <family val="2"/>
      <b val="1"/>
      <sz val="14"/>
    </font>
    <font>
      <name val="Noto Sans CJK SC"/>
      <family val="2"/>
      <color rgb="FF808080"/>
      <sz val="9"/>
    </font>
    <font>
      <name val="Noto Sans JP"/>
      <charset val="128"/>
      <family val="3"/>
      <color rgb="FF808080"/>
      <sz val="9"/>
    </font>
    <font>
      <name val="Noto Sans JP"/>
      <charset val="128"/>
      <family val="3"/>
      <sz val="11"/>
    </font>
    <font>
      <name val="Noto Sans JP"/>
      <charset val="128"/>
      <family val="3"/>
      <b val="1"/>
      <sz val="11"/>
    </font>
    <font>
      <name val="Calibri"/>
      <charset val="1"/>
      <family val="2"/>
      <color theme="1"/>
      <sz val="11"/>
    </font>
    <font>
      <name val="ＭＳ Ｐゴシック"/>
      <charset val="128"/>
      <family val="3"/>
      <sz val="6"/>
    </font>
    <font>
      <name val="ＭＳ ゴシック"/>
      <charset val="128"/>
      <family val="3"/>
      <b val="1"/>
      <sz val="11"/>
    </font>
    <font>
      <b val="1"/>
      <sz val="12"/>
    </font>
    <font>
      <b val="1"/>
      <color rgb="00FFFFFF"/>
    </font>
    <font>
      <b val="1"/>
      <sz val="14"/>
    </font>
    <font>
      <color rgb="00808080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FFD9D9D9"/>
        <bgColor rgb="FFDDD9C3"/>
      </patternFill>
    </fill>
    <fill>
      <patternFill patternType="solid">
        <fgColor theme="2" tint="-0.09997863704336681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3">
    <xf numFmtId="0" fontId="26" fillId="0" borderId="0"/>
    <xf numFmtId="164" fontId="26" fillId="0" borderId="0" applyAlignment="1">
      <alignment vertical="center"/>
    </xf>
    <xf numFmtId="164" fontId="26" fillId="0" borderId="0" applyAlignment="1">
      <alignment vertical="center"/>
    </xf>
  </cellStyleXfs>
  <cellXfs count="106">
    <xf numFmtId="0" fontId="0" fillId="0" borderId="0" pivotButton="0" quotePrefix="0" xfId="0"/>
    <xf numFmtId="164" fontId="1" fillId="0" borderId="1" applyAlignment="1" pivotButton="0" quotePrefix="0" xfId="1">
      <alignment horizontal="right" vertical="center"/>
    </xf>
    <xf numFmtId="0" fontId="1" fillId="0" borderId="0" pivotButton="0" quotePrefix="0" xfId="0"/>
    <xf numFmtId="164" fontId="1" fillId="0" borderId="0" pivotButton="0" quotePrefix="0" xfId="1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1">
      <alignment horizontal="center"/>
    </xf>
    <xf numFmtId="0" fontId="3" fillId="0" borderId="1" pivotButton="0" quotePrefix="0" xfId="0"/>
    <xf numFmtId="0" fontId="4" fillId="0" borderId="1" pivotButton="0" quotePrefix="0" xfId="0"/>
    <xf numFmtId="0" fontId="4" fillId="3" borderId="1" pivotButton="0" quotePrefix="0" xfId="0"/>
    <xf numFmtId="164" fontId="1" fillId="0" borderId="1" pivotButton="0" quotePrefix="0" xfId="1"/>
    <xf numFmtId="0" fontId="5" fillId="0" borderId="1" pivotButton="0" quotePrefix="0" xfId="0"/>
    <xf numFmtId="0" fontId="6" fillId="3" borderId="1" pivotButton="0" quotePrefix="0" xfId="0"/>
    <xf numFmtId="0" fontId="7" fillId="0" borderId="1" pivotButton="0" quotePrefix="0" xfId="0"/>
    <xf numFmtId="0" fontId="7" fillId="3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3" borderId="1" pivotButton="0" quotePrefix="0" xfId="0"/>
    <xf numFmtId="164" fontId="11" fillId="0" borderId="1" pivotButton="0" quotePrefix="0" xfId="1"/>
    <xf numFmtId="0" fontId="12" fillId="0" borderId="1" pivotButton="0" quotePrefix="0" xfId="0"/>
    <xf numFmtId="164" fontId="11" fillId="0" borderId="1" pivotButton="0" quotePrefix="0" xfId="0"/>
    <xf numFmtId="164" fontId="1" fillId="3" borderId="1" pivotButton="0" quotePrefix="0" xfId="1"/>
    <xf numFmtId="0" fontId="3" fillId="0" borderId="0" pivotButton="0" quotePrefix="0" xfId="0"/>
    <xf numFmtId="0" fontId="4" fillId="0" borderId="0" pivotButton="0" quotePrefix="0" xfId="0"/>
    <xf numFmtId="0" fontId="2" fillId="0" borderId="1" pivotButton="0" quotePrefix="0" xfId="0"/>
    <xf numFmtId="164" fontId="13" fillId="0" borderId="1" pivotButton="0" quotePrefix="0" xfId="1"/>
    <xf numFmtId="0" fontId="14" fillId="0" borderId="0" pivotButton="0" quotePrefix="0" xfId="0"/>
    <xf numFmtId="0" fontId="15" fillId="2" borderId="1" applyAlignment="1" pivotButton="0" quotePrefix="0" xfId="0">
      <alignment horizontal="center"/>
    </xf>
    <xf numFmtId="164" fontId="15" fillId="2" borderId="1" applyAlignment="1" pivotButton="0" quotePrefix="0" xfId="1">
      <alignment horizontal="center"/>
    </xf>
    <xf numFmtId="0" fontId="16" fillId="4" borderId="1" applyAlignment="1" pivotButton="0" quotePrefix="0" xfId="0">
      <alignment horizontal="left"/>
    </xf>
    <xf numFmtId="0" fontId="13" fillId="4" borderId="1" applyAlignment="1" pivotButton="0" quotePrefix="0" xfId="0">
      <alignment horizontal="right"/>
    </xf>
    <xf numFmtId="164" fontId="13" fillId="4" borderId="1" applyAlignment="1" pivotButton="0" quotePrefix="0" xfId="1">
      <alignment horizontal="right"/>
    </xf>
    <xf numFmtId="0" fontId="13" fillId="0" borderId="1" applyAlignment="1" pivotButton="0" quotePrefix="0" xfId="0">
      <alignment horizontal="right"/>
    </xf>
    <xf numFmtId="0" fontId="16" fillId="0" borderId="1" pivotButton="0" quotePrefix="0" xfId="0"/>
    <xf numFmtId="0" fontId="1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 indent="2"/>
    </xf>
    <xf numFmtId="0" fontId="17" fillId="0" borderId="1" pivotButton="0" quotePrefix="0" xfId="0"/>
    <xf numFmtId="164" fontId="1" fillId="0" borderId="1" applyAlignment="1" pivotButton="0" quotePrefix="0" xfId="1">
      <alignment vertical="center"/>
    </xf>
    <xf numFmtId="0" fontId="16" fillId="4" borderId="1" pivotButton="0" quotePrefix="0" xfId="0"/>
    <xf numFmtId="0" fontId="17" fillId="4" borderId="1" applyAlignment="1" pivotButton="0" quotePrefix="0" xfId="0">
      <alignment horizontal="left" indent="2"/>
    </xf>
    <xf numFmtId="0" fontId="18" fillId="4" borderId="1" pivotButton="0" quotePrefix="0" xfId="0"/>
    <xf numFmtId="164" fontId="18" fillId="4" borderId="1" pivotButton="0" quotePrefix="0" xfId="2"/>
    <xf numFmtId="164" fontId="18" fillId="4" borderId="1" pivotButton="0" quotePrefix="0" xfId="0"/>
    <xf numFmtId="0" fontId="16" fillId="0" borderId="1" applyAlignment="1" pivotButton="0" quotePrefix="0" xfId="0">
      <alignment horizontal="left" indent="2"/>
    </xf>
    <xf numFmtId="164" fontId="18" fillId="4" borderId="1" applyAlignment="1" pivotButton="0" quotePrefix="0" xfId="2">
      <alignment vertical="center"/>
    </xf>
    <xf numFmtId="164" fontId="13" fillId="4" borderId="1" pivotButton="0" quotePrefix="0" xfId="2"/>
    <xf numFmtId="0" fontId="1" fillId="0" borderId="1" pivotButton="0" quotePrefix="0" xfId="0"/>
    <xf numFmtId="0" fontId="11" fillId="0" borderId="1" pivotButton="0" quotePrefix="0" xfId="0"/>
    <xf numFmtId="0" fontId="19" fillId="0" borderId="1" pivotButton="0" quotePrefix="0" xfId="0"/>
    <xf numFmtId="164" fontId="1" fillId="5" borderId="1" pivotButton="0" quotePrefix="0" xfId="1"/>
    <xf numFmtId="0" fontId="1" fillId="4" borderId="1" pivotButton="0" quotePrefix="0" xfId="0"/>
    <xf numFmtId="0" fontId="5" fillId="4" borderId="1" applyAlignment="1" pivotButton="0" quotePrefix="0" xfId="0">
      <alignment horizontal="left" indent="2"/>
    </xf>
    <xf numFmtId="164" fontId="13" fillId="4" borderId="1" pivotButton="0" quotePrefix="0" xfId="1"/>
    <xf numFmtId="0" fontId="16" fillId="5" borderId="1" pivotButton="0" quotePrefix="0" xfId="0"/>
    <xf numFmtId="0" fontId="16" fillId="4" borderId="1" applyAlignment="1" pivotButton="0" quotePrefix="0" xfId="0">
      <alignment horizontal="left" indent="2"/>
    </xf>
    <xf numFmtId="164" fontId="1" fillId="4" borderId="1" pivotButton="0" quotePrefix="0" xfId="1"/>
    <xf numFmtId="0" fontId="17" fillId="4" borderId="1" pivotButton="0" quotePrefix="0" xfId="0"/>
    <xf numFmtId="164" fontId="1" fillId="3" borderId="1" applyAlignment="1" pivotButton="0" quotePrefix="0" xfId="1">
      <alignment vertical="center"/>
    </xf>
    <xf numFmtId="0" fontId="18" fillId="4" borderId="1" applyAlignment="1" pivotButton="0" quotePrefix="0" xfId="0">
      <alignment vertical="center"/>
    </xf>
    <xf numFmtId="164" fontId="13" fillId="3" borderId="1" applyAlignment="1" pivotButton="0" quotePrefix="0" xfId="1">
      <alignment vertical="center"/>
    </xf>
    <xf numFmtId="164" fontId="11" fillId="3" borderId="1" pivotButton="0" quotePrefix="0" xfId="1"/>
    <xf numFmtId="0" fontId="17" fillId="3" borderId="1" pivotButton="0" quotePrefix="0" xfId="0"/>
    <xf numFmtId="0" fontId="15" fillId="0" borderId="1" pivotButton="0" quotePrefix="0" xfId="0"/>
    <xf numFmtId="0" fontId="21" fillId="0" borderId="0" pivotButton="0" quotePrefix="0" xfId="0"/>
    <xf numFmtId="0" fontId="22" fillId="0" borderId="0" pivotButton="0" quotePrefix="0" xfId="0"/>
    <xf numFmtId="0" fontId="15" fillId="0" borderId="0" pivotButton="0" quotePrefix="0" xfId="0"/>
    <xf numFmtId="0" fontId="15" fillId="6" borderId="2" applyAlignment="1" pivotButton="0" quotePrefix="0" xfId="0">
      <alignment horizontal="center" vertical="center"/>
    </xf>
    <xf numFmtId="0" fontId="16" fillId="0" borderId="2" pivotButton="0" quotePrefix="0" xfId="0"/>
    <xf numFmtId="165" fontId="24" fillId="0" borderId="2" pivotButton="0" quotePrefix="0" xfId="0"/>
    <xf numFmtId="0" fontId="15" fillId="7" borderId="2" pivotButton="0" quotePrefix="0" xfId="0"/>
    <xf numFmtId="165" fontId="25" fillId="7" borderId="2" pivotButton="0" quotePrefix="0" xfId="0"/>
    <xf numFmtId="0" fontId="28" fillId="2" borderId="1" applyAlignment="1" pivotButton="0" quotePrefix="0" xfId="0">
      <alignment horizontal="center"/>
    </xf>
    <xf numFmtId="0" fontId="31" fillId="0" borderId="0" pivotButton="0" quotePrefix="0" xfId="0"/>
    <xf numFmtId="0" fontId="30" fillId="8" borderId="6" applyAlignment="1" pivotButton="0" quotePrefix="0" xfId="0">
      <alignment horizontal="center" vertical="center"/>
    </xf>
    <xf numFmtId="0" fontId="0" fillId="0" borderId="6" pivotButton="0" quotePrefix="0" xfId="0"/>
    <xf numFmtId="164" fontId="0" fillId="0" borderId="6" pivotButton="0" quotePrefix="0" xfId="0"/>
    <xf numFmtId="164" fontId="33" fillId="0" borderId="6" pivotButton="0" quotePrefix="0" xfId="0"/>
    <xf numFmtId="0" fontId="33" fillId="10" borderId="6" pivotButton="0" quotePrefix="0" xfId="0"/>
    <xf numFmtId="164" fontId="33" fillId="10" borderId="6" pivotButton="0" quotePrefix="0" xfId="0"/>
    <xf numFmtId="0" fontId="32" fillId="0" borderId="0" pivotButton="0" quotePrefix="0" xfId="0"/>
    <xf numFmtId="0" fontId="30" fillId="8" borderId="6" applyAlignment="1" pivotButton="0" quotePrefix="0" xfId="0">
      <alignment horizontal="center" vertical="center" wrapText="1"/>
    </xf>
    <xf numFmtId="0" fontId="0" fillId="9" borderId="6" pivotButton="0" quotePrefix="0" xfId="0"/>
    <xf numFmtId="0" fontId="29" fillId="0" borderId="0" pivotButton="0" quotePrefix="0" xfId="0"/>
    <xf numFmtId="164" fontId="1" fillId="0" borderId="0" pivotButton="0" quotePrefix="0" xfId="1"/>
    <xf numFmtId="164" fontId="2" fillId="2" borderId="1" applyAlignment="1" pivotButton="0" quotePrefix="0" xfId="1">
      <alignment horizontal="center"/>
    </xf>
    <xf numFmtId="164" fontId="1" fillId="0" borderId="1" pivotButton="0" quotePrefix="0" xfId="1"/>
    <xf numFmtId="164" fontId="1" fillId="0" borderId="1" applyAlignment="1" pivotButton="0" quotePrefix="0" xfId="1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64" fontId="11" fillId="0" borderId="1" pivotButton="0" quotePrefix="0" xfId="1"/>
    <xf numFmtId="164" fontId="11" fillId="0" borderId="1" pivotButton="0" quotePrefix="0" xfId="0"/>
    <xf numFmtId="164" fontId="1" fillId="3" borderId="1" pivotButton="0" quotePrefix="0" xfId="1"/>
    <xf numFmtId="164" fontId="13" fillId="0" borderId="1" pivotButton="0" quotePrefix="0" xfId="1"/>
    <xf numFmtId="164" fontId="15" fillId="2" borderId="1" applyAlignment="1" pivotButton="0" quotePrefix="0" xfId="1">
      <alignment horizontal="center"/>
    </xf>
    <xf numFmtId="164" fontId="13" fillId="4" borderId="1" applyAlignment="1" pivotButton="0" quotePrefix="0" xfId="1">
      <alignment horizontal="right"/>
    </xf>
    <xf numFmtId="164" fontId="1" fillId="0" borderId="1" applyAlignment="1" pivotButton="0" quotePrefix="0" xfId="1">
      <alignment vertical="center"/>
    </xf>
    <xf numFmtId="164" fontId="18" fillId="4" borderId="1" pivotButton="0" quotePrefix="0" xfId="2"/>
    <xf numFmtId="164" fontId="18" fillId="4" borderId="1" pivotButton="0" quotePrefix="0" xfId="0"/>
    <xf numFmtId="164" fontId="18" fillId="4" borderId="1" applyAlignment="1" pivotButton="0" quotePrefix="0" xfId="2">
      <alignment vertical="center"/>
    </xf>
    <xf numFmtId="164" fontId="13" fillId="4" borderId="1" pivotButton="0" quotePrefix="0" xfId="2"/>
    <xf numFmtId="164" fontId="1" fillId="5" borderId="1" pivotButton="0" quotePrefix="0" xfId="1"/>
    <xf numFmtId="164" fontId="13" fillId="4" borderId="1" pivotButton="0" quotePrefix="0" xfId="1"/>
    <xf numFmtId="164" fontId="1" fillId="4" borderId="1" pivotButton="0" quotePrefix="0" xfId="1"/>
    <xf numFmtId="164" fontId="1" fillId="3" borderId="1" applyAlignment="1" pivotButton="0" quotePrefix="0" xfId="1">
      <alignment vertical="center"/>
    </xf>
    <xf numFmtId="164" fontId="13" fillId="3" borderId="1" applyAlignment="1" pivotButton="0" quotePrefix="0" xfId="1">
      <alignment vertical="center"/>
    </xf>
    <xf numFmtId="164" fontId="11" fillId="3" borderId="1" pivotButton="0" quotePrefix="0" xfId="1"/>
  </cellXfs>
  <cellStyles count="3">
    <cellStyle name="標準" xfId="0" builtinId="0"/>
    <cellStyle name="Excel Built-in Comma [0] 1" xfId="1"/>
    <cellStyle name="Excel Built-in Comma [0]" xfId="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72" t="inlineStr">
        <is>
          <t>勘定科目別 月次支払合計（202606〜202705）</t>
        </is>
      </c>
    </row>
    <row r="2">
      <c r="A2" s="73" t="inlineStr">
        <is>
          <t>勘定科目</t>
        </is>
      </c>
      <c r="B2" s="73" t="inlineStr">
        <is>
          <t>202606</t>
        </is>
      </c>
      <c r="C2" s="73" t="inlineStr">
        <is>
          <t>202607</t>
        </is>
      </c>
      <c r="D2" s="73" t="inlineStr">
        <is>
          <t>202608</t>
        </is>
      </c>
      <c r="E2" s="73" t="inlineStr">
        <is>
          <t>202609</t>
        </is>
      </c>
      <c r="F2" s="73" t="inlineStr">
        <is>
          <t>202610</t>
        </is>
      </c>
      <c r="G2" s="73" t="inlineStr">
        <is>
          <t>202611</t>
        </is>
      </c>
      <c r="H2" s="73" t="inlineStr">
        <is>
          <t>202612</t>
        </is>
      </c>
      <c r="I2" s="73" t="inlineStr">
        <is>
          <t>202701</t>
        </is>
      </c>
      <c r="J2" s="73" t="inlineStr">
        <is>
          <t>202702</t>
        </is>
      </c>
      <c r="K2" s="73" t="inlineStr">
        <is>
          <t>202703</t>
        </is>
      </c>
      <c r="L2" s="73" t="inlineStr">
        <is>
          <t>202704</t>
        </is>
      </c>
      <c r="M2" s="73" t="inlineStr">
        <is>
          <t>202705</t>
        </is>
      </c>
      <c r="N2" s="73" t="inlineStr">
        <is>
          <t>年間合計</t>
        </is>
      </c>
    </row>
    <row r="3">
      <c r="A3" s="74" t="inlineStr">
        <is>
          <t>賃借料</t>
        </is>
      </c>
      <c r="B3" s="75">
        <f>'202606'!C56</f>
        <v/>
      </c>
      <c r="C3" s="75">
        <f>'202607'!C56</f>
        <v/>
      </c>
      <c r="D3" s="75">
        <f>'202608'!C56</f>
        <v/>
      </c>
      <c r="E3" s="75">
        <f>'202609'!C56</f>
        <v/>
      </c>
      <c r="F3" s="75">
        <f>'202610'!C56</f>
        <v/>
      </c>
      <c r="G3" s="75">
        <f>'202611'!C56</f>
        <v/>
      </c>
      <c r="H3" s="75">
        <f>'202612'!C56</f>
        <v/>
      </c>
      <c r="I3" s="75">
        <f>'202701'!C56</f>
        <v/>
      </c>
      <c r="J3" s="75">
        <f>'202702'!C56</f>
        <v/>
      </c>
      <c r="K3" s="75">
        <f>'202703'!C56</f>
        <v/>
      </c>
      <c r="L3" s="75">
        <f>'202704'!C56</f>
        <v/>
      </c>
      <c r="M3" s="75">
        <f>'202705'!C56</f>
        <v/>
      </c>
      <c r="N3" s="76">
        <f>SUM(B3:M3)</f>
        <v/>
      </c>
    </row>
    <row r="4">
      <c r="A4" s="74" t="inlineStr">
        <is>
          <t>修繕費</t>
        </is>
      </c>
      <c r="B4" s="75">
        <f>'202606'!D56</f>
        <v/>
      </c>
      <c r="C4" s="75">
        <f>'202607'!D56</f>
        <v/>
      </c>
      <c r="D4" s="75">
        <f>'202608'!D56</f>
        <v/>
      </c>
      <c r="E4" s="75">
        <f>'202609'!D56</f>
        <v/>
      </c>
      <c r="F4" s="75">
        <f>'202610'!D56</f>
        <v/>
      </c>
      <c r="G4" s="75">
        <f>'202611'!D56</f>
        <v/>
      </c>
      <c r="H4" s="75">
        <f>'202612'!D56</f>
        <v/>
      </c>
      <c r="I4" s="75">
        <f>'202701'!D56</f>
        <v/>
      </c>
      <c r="J4" s="75">
        <f>'202702'!D56</f>
        <v/>
      </c>
      <c r="K4" s="75">
        <f>'202703'!D56</f>
        <v/>
      </c>
      <c r="L4" s="75">
        <f>'202704'!D56</f>
        <v/>
      </c>
      <c r="M4" s="75">
        <f>'202705'!D56</f>
        <v/>
      </c>
      <c r="N4" s="76">
        <f>SUM(B4:M4)</f>
        <v/>
      </c>
    </row>
    <row r="5">
      <c r="A5" s="74" t="inlineStr">
        <is>
          <t>消耗品費</t>
        </is>
      </c>
      <c r="B5" s="75">
        <f>'202606'!E56</f>
        <v/>
      </c>
      <c r="C5" s="75">
        <f>'202607'!E56</f>
        <v/>
      </c>
      <c r="D5" s="75">
        <f>'202608'!E56</f>
        <v/>
      </c>
      <c r="E5" s="75">
        <f>'202609'!E56</f>
        <v/>
      </c>
      <c r="F5" s="75">
        <f>'202610'!E56</f>
        <v/>
      </c>
      <c r="G5" s="75">
        <f>'202611'!E56</f>
        <v/>
      </c>
      <c r="H5" s="75">
        <f>'202612'!E56</f>
        <v/>
      </c>
      <c r="I5" s="75">
        <f>'202701'!E56</f>
        <v/>
      </c>
      <c r="J5" s="75">
        <f>'202702'!E56</f>
        <v/>
      </c>
      <c r="K5" s="75">
        <f>'202703'!E56</f>
        <v/>
      </c>
      <c r="L5" s="75">
        <f>'202704'!E56</f>
        <v/>
      </c>
      <c r="M5" s="75">
        <f>'202705'!E56</f>
        <v/>
      </c>
      <c r="N5" s="76">
        <f>SUM(B5:M5)</f>
        <v/>
      </c>
    </row>
    <row r="6">
      <c r="A6" s="74" t="inlineStr">
        <is>
          <t>雑費</t>
        </is>
      </c>
      <c r="B6" s="75">
        <f>'202606'!F56</f>
        <v/>
      </c>
      <c r="C6" s="75">
        <f>'202607'!F56</f>
        <v/>
      </c>
      <c r="D6" s="75">
        <f>'202608'!F56</f>
        <v/>
      </c>
      <c r="E6" s="75">
        <f>'202609'!F56</f>
        <v/>
      </c>
      <c r="F6" s="75">
        <f>'202610'!F56</f>
        <v/>
      </c>
      <c r="G6" s="75">
        <f>'202611'!F56</f>
        <v/>
      </c>
      <c r="H6" s="75">
        <f>'202612'!F56</f>
        <v/>
      </c>
      <c r="I6" s="75">
        <f>'202701'!F56</f>
        <v/>
      </c>
      <c r="J6" s="75">
        <f>'202702'!F56</f>
        <v/>
      </c>
      <c r="K6" s="75">
        <f>'202703'!F56</f>
        <v/>
      </c>
      <c r="L6" s="75">
        <f>'202704'!F56</f>
        <v/>
      </c>
      <c r="M6" s="75">
        <f>'202705'!F56</f>
        <v/>
      </c>
      <c r="N6" s="76">
        <f>SUM(B6:M6)</f>
        <v/>
      </c>
    </row>
    <row r="7">
      <c r="A7" s="74" t="inlineStr">
        <is>
          <t>通信費</t>
        </is>
      </c>
      <c r="B7" s="75">
        <f>'202606'!G56</f>
        <v/>
      </c>
      <c r="C7" s="75">
        <f>'202607'!G56</f>
        <v/>
      </c>
      <c r="D7" s="75">
        <f>'202608'!G56</f>
        <v/>
      </c>
      <c r="E7" s="75">
        <f>'202609'!G56</f>
        <v/>
      </c>
      <c r="F7" s="75">
        <f>'202610'!G56</f>
        <v/>
      </c>
      <c r="G7" s="75">
        <f>'202611'!G56</f>
        <v/>
      </c>
      <c r="H7" s="75">
        <f>'202612'!G56</f>
        <v/>
      </c>
      <c r="I7" s="75">
        <f>'202701'!G56</f>
        <v/>
      </c>
      <c r="J7" s="75">
        <f>'202702'!G56</f>
        <v/>
      </c>
      <c r="K7" s="75">
        <f>'202703'!G56</f>
        <v/>
      </c>
      <c r="L7" s="75">
        <f>'202704'!G56</f>
        <v/>
      </c>
      <c r="M7" s="75">
        <f>'202705'!G56</f>
        <v/>
      </c>
      <c r="N7" s="76">
        <f>SUM(B7:M7)</f>
        <v/>
      </c>
    </row>
    <row r="8">
      <c r="A8" s="74" t="inlineStr">
        <is>
          <t>リース料</t>
        </is>
      </c>
      <c r="B8" s="75">
        <f>'202606'!H56</f>
        <v/>
      </c>
      <c r="C8" s="75">
        <f>'202607'!H56</f>
        <v/>
      </c>
      <c r="D8" s="75">
        <f>'202608'!H56</f>
        <v/>
      </c>
      <c r="E8" s="75">
        <f>'202609'!H56</f>
        <v/>
      </c>
      <c r="F8" s="75">
        <f>'202610'!H56</f>
        <v/>
      </c>
      <c r="G8" s="75">
        <f>'202611'!H56</f>
        <v/>
      </c>
      <c r="H8" s="75">
        <f>'202612'!H56</f>
        <v/>
      </c>
      <c r="I8" s="75">
        <f>'202701'!H56</f>
        <v/>
      </c>
      <c r="J8" s="75">
        <f>'202702'!H56</f>
        <v/>
      </c>
      <c r="K8" s="75">
        <f>'202703'!H56</f>
        <v/>
      </c>
      <c r="L8" s="75">
        <f>'202704'!H56</f>
        <v/>
      </c>
      <c r="M8" s="75">
        <f>'202705'!H56</f>
        <v/>
      </c>
      <c r="N8" s="76">
        <f>SUM(B8:M8)</f>
        <v/>
      </c>
    </row>
    <row r="9">
      <c r="A9" s="74" t="inlineStr">
        <is>
          <t>水道光熱費</t>
        </is>
      </c>
      <c r="B9" s="75">
        <f>'202606'!I56</f>
        <v/>
      </c>
      <c r="C9" s="75">
        <f>'202607'!I56</f>
        <v/>
      </c>
      <c r="D9" s="75">
        <f>'202608'!I56</f>
        <v/>
      </c>
      <c r="E9" s="75">
        <f>'202609'!I56</f>
        <v/>
      </c>
      <c r="F9" s="75">
        <f>'202610'!I56</f>
        <v/>
      </c>
      <c r="G9" s="75">
        <f>'202611'!I56</f>
        <v/>
      </c>
      <c r="H9" s="75">
        <f>'202612'!I56</f>
        <v/>
      </c>
      <c r="I9" s="75">
        <f>'202701'!I56</f>
        <v/>
      </c>
      <c r="J9" s="75">
        <f>'202702'!I56</f>
        <v/>
      </c>
      <c r="K9" s="75">
        <f>'202703'!I56</f>
        <v/>
      </c>
      <c r="L9" s="75">
        <f>'202704'!I56</f>
        <v/>
      </c>
      <c r="M9" s="75">
        <f>'202705'!I56</f>
        <v/>
      </c>
      <c r="N9" s="76">
        <f>SUM(B9:M9)</f>
        <v/>
      </c>
    </row>
    <row r="10">
      <c r="A10" s="74" t="inlineStr">
        <is>
          <t>保険積立金</t>
        </is>
      </c>
      <c r="B10" s="75">
        <f>'202606'!J56</f>
        <v/>
      </c>
      <c r="C10" s="75">
        <f>'202607'!J56</f>
        <v/>
      </c>
      <c r="D10" s="75">
        <f>'202608'!J56</f>
        <v/>
      </c>
      <c r="E10" s="75">
        <f>'202609'!J56</f>
        <v/>
      </c>
      <c r="F10" s="75">
        <f>'202610'!J56</f>
        <v/>
      </c>
      <c r="G10" s="75">
        <f>'202611'!J56</f>
        <v/>
      </c>
      <c r="H10" s="75">
        <f>'202612'!J56</f>
        <v/>
      </c>
      <c r="I10" s="75">
        <f>'202701'!J56</f>
        <v/>
      </c>
      <c r="J10" s="75">
        <f>'202702'!J56</f>
        <v/>
      </c>
      <c r="K10" s="75">
        <f>'202703'!J56</f>
        <v/>
      </c>
      <c r="L10" s="75">
        <f>'202704'!J56</f>
        <v/>
      </c>
      <c r="M10" s="75">
        <f>'202705'!J56</f>
        <v/>
      </c>
      <c r="N10" s="76">
        <f>SUM(B10:M10)</f>
        <v/>
      </c>
    </row>
    <row r="11">
      <c r="A11" s="74" t="inlineStr">
        <is>
          <t>保険料</t>
        </is>
      </c>
      <c r="B11" s="75">
        <f>'202606'!K56</f>
        <v/>
      </c>
      <c r="C11" s="75">
        <f>'202607'!K56</f>
        <v/>
      </c>
      <c r="D11" s="75">
        <f>'202608'!K56</f>
        <v/>
      </c>
      <c r="E11" s="75">
        <f>'202609'!K56</f>
        <v/>
      </c>
      <c r="F11" s="75">
        <f>'202610'!K56</f>
        <v/>
      </c>
      <c r="G11" s="75">
        <f>'202611'!K56</f>
        <v/>
      </c>
      <c r="H11" s="75">
        <f>'202612'!K56</f>
        <v/>
      </c>
      <c r="I11" s="75">
        <f>'202701'!K56</f>
        <v/>
      </c>
      <c r="J11" s="75">
        <f>'202702'!K56</f>
        <v/>
      </c>
      <c r="K11" s="75">
        <f>'202703'!K56</f>
        <v/>
      </c>
      <c r="L11" s="75">
        <f>'202704'!K56</f>
        <v/>
      </c>
      <c r="M11" s="75">
        <f>'202705'!K56</f>
        <v/>
      </c>
      <c r="N11" s="76">
        <f>SUM(B11:M11)</f>
        <v/>
      </c>
    </row>
    <row r="12">
      <c r="A12" s="74" t="inlineStr">
        <is>
          <t>支払手数料</t>
        </is>
      </c>
      <c r="B12" s="75">
        <f>'202606'!L56</f>
        <v/>
      </c>
      <c r="C12" s="75">
        <f>'202607'!L56</f>
        <v/>
      </c>
      <c r="D12" s="75">
        <f>'202608'!L56</f>
        <v/>
      </c>
      <c r="E12" s="75">
        <f>'202609'!L56</f>
        <v/>
      </c>
      <c r="F12" s="75">
        <f>'202610'!L56</f>
        <v/>
      </c>
      <c r="G12" s="75">
        <f>'202611'!L56</f>
        <v/>
      </c>
      <c r="H12" s="75">
        <f>'202612'!L56</f>
        <v/>
      </c>
      <c r="I12" s="75">
        <f>'202701'!L56</f>
        <v/>
      </c>
      <c r="J12" s="75">
        <f>'202702'!L56</f>
        <v/>
      </c>
      <c r="K12" s="75">
        <f>'202703'!L56</f>
        <v/>
      </c>
      <c r="L12" s="75">
        <f>'202704'!L56</f>
        <v/>
      </c>
      <c r="M12" s="75">
        <f>'202705'!L56</f>
        <v/>
      </c>
      <c r="N12" s="76">
        <f>SUM(B12:M12)</f>
        <v/>
      </c>
    </row>
    <row r="13">
      <c r="A13" s="74" t="inlineStr">
        <is>
          <t>広告宣伝費</t>
        </is>
      </c>
      <c r="B13" s="75">
        <f>'202606'!M56</f>
        <v/>
      </c>
      <c r="C13" s="75">
        <f>'202607'!M56</f>
        <v/>
      </c>
      <c r="D13" s="75">
        <f>'202608'!M56</f>
        <v/>
      </c>
      <c r="E13" s="75">
        <f>'202609'!M56</f>
        <v/>
      </c>
      <c r="F13" s="75">
        <f>'202610'!M56</f>
        <v/>
      </c>
      <c r="G13" s="75">
        <f>'202611'!M56</f>
        <v/>
      </c>
      <c r="H13" s="75">
        <f>'202612'!M56</f>
        <v/>
      </c>
      <c r="I13" s="75">
        <f>'202701'!M56</f>
        <v/>
      </c>
      <c r="J13" s="75">
        <f>'202702'!M56</f>
        <v/>
      </c>
      <c r="K13" s="75">
        <f>'202703'!M56</f>
        <v/>
      </c>
      <c r="L13" s="75">
        <f>'202704'!M56</f>
        <v/>
      </c>
      <c r="M13" s="75">
        <f>'202705'!M56</f>
        <v/>
      </c>
      <c r="N13" s="76">
        <f>SUM(B13:M13)</f>
        <v/>
      </c>
    </row>
    <row r="14">
      <c r="A14" s="74" t="inlineStr">
        <is>
          <t>消耗品費（8%）</t>
        </is>
      </c>
      <c r="B14" s="75">
        <f>'202606'!N56</f>
        <v/>
      </c>
      <c r="C14" s="75">
        <f>'202607'!N56</f>
        <v/>
      </c>
      <c r="D14" s="75">
        <f>'202608'!N56</f>
        <v/>
      </c>
      <c r="E14" s="75">
        <f>'202609'!N56</f>
        <v/>
      </c>
      <c r="F14" s="75">
        <f>'202610'!N56</f>
        <v/>
      </c>
      <c r="G14" s="75">
        <f>'202611'!N56</f>
        <v/>
      </c>
      <c r="H14" s="75">
        <f>'202612'!N56</f>
        <v/>
      </c>
      <c r="I14" s="75">
        <f>'202701'!N56</f>
        <v/>
      </c>
      <c r="J14" s="75">
        <f>'202702'!N56</f>
        <v/>
      </c>
      <c r="K14" s="75">
        <f>'202703'!N56</f>
        <v/>
      </c>
      <c r="L14" s="75">
        <f>'202704'!N56</f>
        <v/>
      </c>
      <c r="M14" s="75">
        <f>'202705'!N56</f>
        <v/>
      </c>
      <c r="N14" s="76">
        <f>SUM(B14:M14)</f>
        <v/>
      </c>
    </row>
    <row r="15">
      <c r="A15" s="74" t="inlineStr">
        <is>
          <t>租税公課</t>
        </is>
      </c>
      <c r="B15" s="75">
        <f>'202606'!O56</f>
        <v/>
      </c>
      <c r="C15" s="75">
        <f>'202607'!O56</f>
        <v/>
      </c>
      <c r="D15" s="75">
        <f>'202608'!O56</f>
        <v/>
      </c>
      <c r="E15" s="75">
        <f>'202609'!O56</f>
        <v/>
      </c>
      <c r="F15" s="75">
        <f>'202610'!O56</f>
        <v/>
      </c>
      <c r="G15" s="75">
        <f>'202611'!O56</f>
        <v/>
      </c>
      <c r="H15" s="75">
        <f>'202612'!O56</f>
        <v/>
      </c>
      <c r="I15" s="75">
        <f>'202701'!O56</f>
        <v/>
      </c>
      <c r="J15" s="75">
        <f>'202702'!O56</f>
        <v/>
      </c>
      <c r="K15" s="75">
        <f>'202703'!O56</f>
        <v/>
      </c>
      <c r="L15" s="75">
        <f>'202704'!O56</f>
        <v/>
      </c>
      <c r="M15" s="75">
        <f>'202705'!O56</f>
        <v/>
      </c>
      <c r="N15" s="76">
        <f>SUM(B15:M15)</f>
        <v/>
      </c>
    </row>
    <row r="16">
      <c r="A16" s="74" t="inlineStr">
        <is>
          <t>車輛燃料費</t>
        </is>
      </c>
      <c r="B16" s="75">
        <f>'202606'!P56</f>
        <v/>
      </c>
      <c r="C16" s="75">
        <f>'202607'!P56</f>
        <v/>
      </c>
      <c r="D16" s="75">
        <f>'202608'!P56</f>
        <v/>
      </c>
      <c r="E16" s="75">
        <f>'202609'!P56</f>
        <v/>
      </c>
      <c r="F16" s="75">
        <f>'202610'!P56</f>
        <v/>
      </c>
      <c r="G16" s="75">
        <f>'202611'!P56</f>
        <v/>
      </c>
      <c r="H16" s="75">
        <f>'202612'!P56</f>
        <v/>
      </c>
      <c r="I16" s="75">
        <f>'202701'!P56</f>
        <v/>
      </c>
      <c r="J16" s="75">
        <f>'202702'!P56</f>
        <v/>
      </c>
      <c r="K16" s="75">
        <f>'202703'!P56</f>
        <v/>
      </c>
      <c r="L16" s="75">
        <f>'202704'!P56</f>
        <v/>
      </c>
      <c r="M16" s="75">
        <f>'202705'!P56</f>
        <v/>
      </c>
      <c r="N16" s="76">
        <f>SUM(B16:M16)</f>
        <v/>
      </c>
    </row>
    <row r="17">
      <c r="A17" s="74" t="inlineStr">
        <is>
          <t>旅費交通費</t>
        </is>
      </c>
      <c r="B17" s="75">
        <f>'202606'!Q56</f>
        <v/>
      </c>
      <c r="C17" s="75">
        <f>'202607'!Q56</f>
        <v/>
      </c>
      <c r="D17" s="75">
        <f>'202608'!Q56</f>
        <v/>
      </c>
      <c r="E17" s="75">
        <f>'202609'!Q56</f>
        <v/>
      </c>
      <c r="F17" s="75">
        <f>'202610'!Q56</f>
        <v/>
      </c>
      <c r="G17" s="75">
        <f>'202611'!Q56</f>
        <v/>
      </c>
      <c r="H17" s="75">
        <f>'202612'!Q56</f>
        <v/>
      </c>
      <c r="I17" s="75">
        <f>'202701'!Q56</f>
        <v/>
      </c>
      <c r="J17" s="75">
        <f>'202702'!Q56</f>
        <v/>
      </c>
      <c r="K17" s="75">
        <f>'202703'!Q56</f>
        <v/>
      </c>
      <c r="L17" s="75">
        <f>'202704'!Q56</f>
        <v/>
      </c>
      <c r="M17" s="75">
        <f>'202705'!Q56</f>
        <v/>
      </c>
      <c r="N17" s="76">
        <f>SUM(B17:M17)</f>
        <v/>
      </c>
    </row>
    <row r="18">
      <c r="A18" s="74" t="inlineStr">
        <is>
          <t>接待交際費</t>
        </is>
      </c>
      <c r="B18" s="75">
        <f>'202606'!R56</f>
        <v/>
      </c>
      <c r="C18" s="75">
        <f>'202607'!R56</f>
        <v/>
      </c>
      <c r="D18" s="75">
        <f>'202608'!R56</f>
        <v/>
      </c>
      <c r="E18" s="75">
        <f>'202609'!R56</f>
        <v/>
      </c>
      <c r="F18" s="75">
        <f>'202610'!R56</f>
        <v/>
      </c>
      <c r="G18" s="75">
        <f>'202611'!R56</f>
        <v/>
      </c>
      <c r="H18" s="75">
        <f>'202612'!R56</f>
        <v/>
      </c>
      <c r="I18" s="75">
        <f>'202701'!R56</f>
        <v/>
      </c>
      <c r="J18" s="75">
        <f>'202702'!R56</f>
        <v/>
      </c>
      <c r="K18" s="75">
        <f>'202703'!R56</f>
        <v/>
      </c>
      <c r="L18" s="75">
        <f>'202704'!R56</f>
        <v/>
      </c>
      <c r="M18" s="75">
        <f>'202705'!R56</f>
        <v/>
      </c>
      <c r="N18" s="76">
        <f>SUM(B18:M18)</f>
        <v/>
      </c>
    </row>
    <row r="19">
      <c r="A19" s="74" t="inlineStr">
        <is>
          <t>会議費</t>
        </is>
      </c>
      <c r="B19" s="75">
        <f>'202606'!S56</f>
        <v/>
      </c>
      <c r="C19" s="75">
        <f>'202607'!S56</f>
        <v/>
      </c>
      <c r="D19" s="75">
        <f>'202608'!S56</f>
        <v/>
      </c>
      <c r="E19" s="75">
        <f>'202609'!S56</f>
        <v/>
      </c>
      <c r="F19" s="75">
        <f>'202610'!S56</f>
        <v/>
      </c>
      <c r="G19" s="75">
        <f>'202611'!S56</f>
        <v/>
      </c>
      <c r="H19" s="75">
        <f>'202612'!S56</f>
        <v/>
      </c>
      <c r="I19" s="75">
        <f>'202701'!S56</f>
        <v/>
      </c>
      <c r="J19" s="75">
        <f>'202702'!S56</f>
        <v/>
      </c>
      <c r="K19" s="75">
        <f>'202703'!S56</f>
        <v/>
      </c>
      <c r="L19" s="75">
        <f>'202704'!S56</f>
        <v/>
      </c>
      <c r="M19" s="75">
        <f>'202705'!S56</f>
        <v/>
      </c>
      <c r="N19" s="76">
        <f>SUM(B19:M19)</f>
        <v/>
      </c>
    </row>
    <row r="20">
      <c r="A20" s="74" t="inlineStr">
        <is>
          <t>福利厚生費</t>
        </is>
      </c>
      <c r="B20" s="75">
        <f>'202606'!T56</f>
        <v/>
      </c>
      <c r="C20" s="75">
        <f>'202607'!T56</f>
        <v/>
      </c>
      <c r="D20" s="75">
        <f>'202608'!T56</f>
        <v/>
      </c>
      <c r="E20" s="75">
        <f>'202609'!T56</f>
        <v/>
      </c>
      <c r="F20" s="75">
        <f>'202610'!T56</f>
        <v/>
      </c>
      <c r="G20" s="75">
        <f>'202611'!T56</f>
        <v/>
      </c>
      <c r="H20" s="75">
        <f>'202612'!T56</f>
        <v/>
      </c>
      <c r="I20" s="75">
        <f>'202701'!T56</f>
        <v/>
      </c>
      <c r="J20" s="75">
        <f>'202702'!T56</f>
        <v/>
      </c>
      <c r="K20" s="75">
        <f>'202703'!T56</f>
        <v/>
      </c>
      <c r="L20" s="75">
        <f>'202704'!T56</f>
        <v/>
      </c>
      <c r="M20" s="75">
        <f>'202705'!T56</f>
        <v/>
      </c>
      <c r="N20" s="76">
        <f>SUM(B20:M20)</f>
        <v/>
      </c>
    </row>
    <row r="21">
      <c r="A21" s="74" t="inlineStr">
        <is>
          <t>工具、器具及び備品</t>
        </is>
      </c>
      <c r="B21" s="75">
        <f>'202606'!U56</f>
        <v/>
      </c>
      <c r="C21" s="75">
        <f>'202607'!U56</f>
        <v/>
      </c>
      <c r="D21" s="75">
        <f>'202608'!U56</f>
        <v/>
      </c>
      <c r="E21" s="75">
        <f>'202609'!U56</f>
        <v/>
      </c>
      <c r="F21" s="75">
        <f>'202610'!U56</f>
        <v/>
      </c>
      <c r="G21" s="75">
        <f>'202611'!U56</f>
        <v/>
      </c>
      <c r="H21" s="75">
        <f>'202612'!U56</f>
        <v/>
      </c>
      <c r="I21" s="75">
        <f>'202701'!U56</f>
        <v/>
      </c>
      <c r="J21" s="75">
        <f>'202702'!U56</f>
        <v/>
      </c>
      <c r="K21" s="75">
        <f>'202703'!U56</f>
        <v/>
      </c>
      <c r="L21" s="75">
        <f>'202704'!U56</f>
        <v/>
      </c>
      <c r="M21" s="75">
        <f>'202705'!U56</f>
        <v/>
      </c>
      <c r="N21" s="76">
        <f>SUM(B21:M21)</f>
        <v/>
      </c>
    </row>
    <row r="22">
      <c r="A22" s="74" t="inlineStr">
        <is>
          <t>車両運搬具</t>
        </is>
      </c>
      <c r="B22" s="75">
        <f>'202606'!V56</f>
        <v/>
      </c>
      <c r="C22" s="75">
        <f>'202607'!V56</f>
        <v/>
      </c>
      <c r="D22" s="75">
        <f>'202608'!V56</f>
        <v/>
      </c>
      <c r="E22" s="75">
        <f>'202609'!V56</f>
        <v/>
      </c>
      <c r="F22" s="75">
        <f>'202610'!V56</f>
        <v/>
      </c>
      <c r="G22" s="75">
        <f>'202611'!V56</f>
        <v/>
      </c>
      <c r="H22" s="75">
        <f>'202612'!V56</f>
        <v/>
      </c>
      <c r="I22" s="75">
        <f>'202701'!V56</f>
        <v/>
      </c>
      <c r="J22" s="75">
        <f>'202702'!V56</f>
        <v/>
      </c>
      <c r="K22" s="75">
        <f>'202703'!V56</f>
        <v/>
      </c>
      <c r="L22" s="75">
        <f>'202704'!V56</f>
        <v/>
      </c>
      <c r="M22" s="75">
        <f>'202705'!V56</f>
        <v/>
      </c>
      <c r="N22" s="76">
        <f>SUM(B22:M22)</f>
        <v/>
      </c>
    </row>
    <row r="23">
      <c r="A23" s="74" t="n"/>
      <c r="B23" s="75">
        <f>'202606'!W56</f>
        <v/>
      </c>
      <c r="C23" s="75">
        <f>'202607'!W56</f>
        <v/>
      </c>
      <c r="D23" s="75">
        <f>'202608'!W56</f>
        <v/>
      </c>
      <c r="E23" s="75">
        <f>'202609'!W56</f>
        <v/>
      </c>
      <c r="F23" s="75">
        <f>'202610'!W56</f>
        <v/>
      </c>
      <c r="G23" s="75">
        <f>'202611'!W56</f>
        <v/>
      </c>
      <c r="H23" s="75">
        <f>'202612'!W56</f>
        <v/>
      </c>
      <c r="I23" s="75">
        <f>'202701'!W56</f>
        <v/>
      </c>
      <c r="J23" s="75">
        <f>'202702'!W56</f>
        <v/>
      </c>
      <c r="K23" s="75">
        <f>'202703'!W56</f>
        <v/>
      </c>
      <c r="L23" s="75">
        <f>'202704'!W56</f>
        <v/>
      </c>
      <c r="M23" s="75">
        <f>'202705'!W56</f>
        <v/>
      </c>
      <c r="N23" s="76">
        <f>SUM(B23:M23)</f>
        <v/>
      </c>
    </row>
    <row r="24">
      <c r="A24" s="74" t="n"/>
      <c r="B24" s="75">
        <f>'202606'!X56</f>
        <v/>
      </c>
      <c r="C24" s="75">
        <f>'202607'!X56</f>
        <v/>
      </c>
      <c r="D24" s="75">
        <f>'202608'!X56</f>
        <v/>
      </c>
      <c r="E24" s="75">
        <f>'202609'!X56</f>
        <v/>
      </c>
      <c r="F24" s="75">
        <f>'202610'!X56</f>
        <v/>
      </c>
      <c r="G24" s="75">
        <f>'202611'!X56</f>
        <v/>
      </c>
      <c r="H24" s="75">
        <f>'202612'!X56</f>
        <v/>
      </c>
      <c r="I24" s="75">
        <f>'202701'!X56</f>
        <v/>
      </c>
      <c r="J24" s="75">
        <f>'202702'!X56</f>
        <v/>
      </c>
      <c r="K24" s="75">
        <f>'202703'!X56</f>
        <v/>
      </c>
      <c r="L24" s="75">
        <f>'202704'!X56</f>
        <v/>
      </c>
      <c r="M24" s="75">
        <f>'202705'!X56</f>
        <v/>
      </c>
      <c r="N24" s="76">
        <f>SUM(B24:M24)</f>
        <v/>
      </c>
    </row>
    <row r="25">
      <c r="A25" s="74" t="n"/>
      <c r="B25" s="75">
        <f>'202606'!Y56</f>
        <v/>
      </c>
      <c r="C25" s="75">
        <f>'202607'!Y56</f>
        <v/>
      </c>
      <c r="D25" s="75">
        <f>'202608'!Y56</f>
        <v/>
      </c>
      <c r="E25" s="75">
        <f>'202609'!Y56</f>
        <v/>
      </c>
      <c r="F25" s="75">
        <f>'202610'!Y56</f>
        <v/>
      </c>
      <c r="G25" s="75">
        <f>'202611'!Y56</f>
        <v/>
      </c>
      <c r="H25" s="75">
        <f>'202612'!Y56</f>
        <v/>
      </c>
      <c r="I25" s="75">
        <f>'202701'!Y56</f>
        <v/>
      </c>
      <c r="J25" s="75">
        <f>'202702'!Y56</f>
        <v/>
      </c>
      <c r="K25" s="75">
        <f>'202703'!Y56</f>
        <v/>
      </c>
      <c r="L25" s="75">
        <f>'202704'!Y56</f>
        <v/>
      </c>
      <c r="M25" s="75">
        <f>'202705'!Y56</f>
        <v/>
      </c>
      <c r="N25" s="76">
        <f>SUM(B25:M25)</f>
        <v/>
      </c>
    </row>
    <row r="26">
      <c r="A26" s="77" t="inlineStr">
        <is>
          <t>合計</t>
        </is>
      </c>
      <c r="B26" s="78">
        <f>SUM(B3:B25)</f>
        <v/>
      </c>
      <c r="C26" s="78">
        <f>SUM(C3:C25)</f>
        <v/>
      </c>
      <c r="D26" s="78">
        <f>SUM(D3:D25)</f>
        <v/>
      </c>
      <c r="E26" s="78">
        <f>SUM(E3:E25)</f>
        <v/>
      </c>
      <c r="F26" s="78">
        <f>SUM(F3:F25)</f>
        <v/>
      </c>
      <c r="G26" s="78">
        <f>SUM(G3:G25)</f>
        <v/>
      </c>
      <c r="H26" s="78">
        <f>SUM(H3:H25)</f>
        <v/>
      </c>
      <c r="I26" s="78">
        <f>SUM(I3:I25)</f>
        <v/>
      </c>
      <c r="J26" s="78">
        <f>SUM(J3:J25)</f>
        <v/>
      </c>
      <c r="K26" s="78">
        <f>SUM(K3:K25)</f>
        <v/>
      </c>
      <c r="L26" s="78">
        <f>SUM(L3:L25)</f>
        <v/>
      </c>
      <c r="M26" s="78">
        <f>SUM(M3:M25)</f>
        <v/>
      </c>
      <c r="N26" s="78">
        <f>SUM(N3:N25)</f>
        <v/>
      </c>
    </row>
    <row r="28">
      <c r="A28" s="79" t="inlineStr">
        <is>
          <t>※ 各月シートの合計行から自動集計しています。金額は各月シートに入力してください。</t>
        </is>
      </c>
    </row>
    <row r="29">
      <c r="A29" s="79" t="inlineStr">
        <is>
          <t>※ A列に科目名を追記すると、全ての月シートの列見出しにも反映されます（追加枠3列）。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72" t="inlineStr">
        <is>
          <t>支払先別 月次支払合計（202606〜202705）</t>
        </is>
      </c>
    </row>
    <row r="2">
      <c r="A2" s="73" t="inlineStr">
        <is>
          <t>支払先</t>
        </is>
      </c>
      <c r="B2" s="73" t="inlineStr">
        <is>
          <t>202606</t>
        </is>
      </c>
      <c r="C2" s="73" t="inlineStr">
        <is>
          <t>202607</t>
        </is>
      </c>
      <c r="D2" s="73" t="inlineStr">
        <is>
          <t>202608</t>
        </is>
      </c>
      <c r="E2" s="73" t="inlineStr">
        <is>
          <t>202609</t>
        </is>
      </c>
      <c r="F2" s="73" t="inlineStr">
        <is>
          <t>202610</t>
        </is>
      </c>
      <c r="G2" s="73" t="inlineStr">
        <is>
          <t>202611</t>
        </is>
      </c>
      <c r="H2" s="73" t="inlineStr">
        <is>
          <t>202612</t>
        </is>
      </c>
      <c r="I2" s="73" t="inlineStr">
        <is>
          <t>202701</t>
        </is>
      </c>
      <c r="J2" s="73" t="inlineStr">
        <is>
          <t>202702</t>
        </is>
      </c>
      <c r="K2" s="73" t="inlineStr">
        <is>
          <t>202703</t>
        </is>
      </c>
      <c r="L2" s="73" t="inlineStr">
        <is>
          <t>202704</t>
        </is>
      </c>
      <c r="M2" s="73" t="inlineStr">
        <is>
          <t>202705</t>
        </is>
      </c>
      <c r="N2" s="73" t="inlineStr">
        <is>
          <t>年間合計</t>
        </is>
      </c>
    </row>
    <row r="3">
      <c r="A3" s="74">
        <f>IF(支払先マスタ!A3="","",支払先マスタ!A3)</f>
        <v/>
      </c>
      <c r="B3" s="75">
        <f>'202606'!B3</f>
        <v/>
      </c>
      <c r="C3" s="75">
        <f>'202607'!B3</f>
        <v/>
      </c>
      <c r="D3" s="75">
        <f>'202608'!B3</f>
        <v/>
      </c>
      <c r="E3" s="75">
        <f>'202609'!B3</f>
        <v/>
      </c>
      <c r="F3" s="75">
        <f>'202610'!B3</f>
        <v/>
      </c>
      <c r="G3" s="75">
        <f>'202611'!B3</f>
        <v/>
      </c>
      <c r="H3" s="75">
        <f>'202612'!B3</f>
        <v/>
      </c>
      <c r="I3" s="75">
        <f>'202701'!B3</f>
        <v/>
      </c>
      <c r="J3" s="75">
        <f>'202702'!B3</f>
        <v/>
      </c>
      <c r="K3" s="75">
        <f>'202703'!B3</f>
        <v/>
      </c>
      <c r="L3" s="75">
        <f>'202704'!B3</f>
        <v/>
      </c>
      <c r="M3" s="75">
        <f>'202705'!B3</f>
        <v/>
      </c>
      <c r="N3" s="76">
        <f>SUM(B3:M3)</f>
        <v/>
      </c>
    </row>
    <row r="4">
      <c r="A4" s="74">
        <f>IF(支払先マスタ!A4="","",支払先マスタ!A4)</f>
        <v/>
      </c>
      <c r="B4" s="75">
        <f>'202606'!B4</f>
        <v/>
      </c>
      <c r="C4" s="75">
        <f>'202607'!B4</f>
        <v/>
      </c>
      <c r="D4" s="75">
        <f>'202608'!B4</f>
        <v/>
      </c>
      <c r="E4" s="75">
        <f>'202609'!B4</f>
        <v/>
      </c>
      <c r="F4" s="75">
        <f>'202610'!B4</f>
        <v/>
      </c>
      <c r="G4" s="75">
        <f>'202611'!B4</f>
        <v/>
      </c>
      <c r="H4" s="75">
        <f>'202612'!B4</f>
        <v/>
      </c>
      <c r="I4" s="75">
        <f>'202701'!B4</f>
        <v/>
      </c>
      <c r="J4" s="75">
        <f>'202702'!B4</f>
        <v/>
      </c>
      <c r="K4" s="75">
        <f>'202703'!B4</f>
        <v/>
      </c>
      <c r="L4" s="75">
        <f>'202704'!B4</f>
        <v/>
      </c>
      <c r="M4" s="75">
        <f>'202705'!B4</f>
        <v/>
      </c>
      <c r="N4" s="76">
        <f>SUM(B4:M4)</f>
        <v/>
      </c>
    </row>
    <row r="5">
      <c r="A5" s="74">
        <f>IF(支払先マスタ!A5="","",支払先マスタ!A5)</f>
        <v/>
      </c>
      <c r="B5" s="75">
        <f>'202606'!B5</f>
        <v/>
      </c>
      <c r="C5" s="75">
        <f>'202607'!B5</f>
        <v/>
      </c>
      <c r="D5" s="75">
        <f>'202608'!B5</f>
        <v/>
      </c>
      <c r="E5" s="75">
        <f>'202609'!B5</f>
        <v/>
      </c>
      <c r="F5" s="75">
        <f>'202610'!B5</f>
        <v/>
      </c>
      <c r="G5" s="75">
        <f>'202611'!B5</f>
        <v/>
      </c>
      <c r="H5" s="75">
        <f>'202612'!B5</f>
        <v/>
      </c>
      <c r="I5" s="75">
        <f>'202701'!B5</f>
        <v/>
      </c>
      <c r="J5" s="75">
        <f>'202702'!B5</f>
        <v/>
      </c>
      <c r="K5" s="75">
        <f>'202703'!B5</f>
        <v/>
      </c>
      <c r="L5" s="75">
        <f>'202704'!B5</f>
        <v/>
      </c>
      <c r="M5" s="75">
        <f>'202705'!B5</f>
        <v/>
      </c>
      <c r="N5" s="76">
        <f>SUM(B5:M5)</f>
        <v/>
      </c>
    </row>
    <row r="6">
      <c r="A6" s="74">
        <f>IF(支払先マスタ!A6="","",支払先マスタ!A6)</f>
        <v/>
      </c>
      <c r="B6" s="75">
        <f>'202606'!B6</f>
        <v/>
      </c>
      <c r="C6" s="75">
        <f>'202607'!B6</f>
        <v/>
      </c>
      <c r="D6" s="75">
        <f>'202608'!B6</f>
        <v/>
      </c>
      <c r="E6" s="75">
        <f>'202609'!B6</f>
        <v/>
      </c>
      <c r="F6" s="75">
        <f>'202610'!B6</f>
        <v/>
      </c>
      <c r="G6" s="75">
        <f>'202611'!B6</f>
        <v/>
      </c>
      <c r="H6" s="75">
        <f>'202612'!B6</f>
        <v/>
      </c>
      <c r="I6" s="75">
        <f>'202701'!B6</f>
        <v/>
      </c>
      <c r="J6" s="75">
        <f>'202702'!B6</f>
        <v/>
      </c>
      <c r="K6" s="75">
        <f>'202703'!B6</f>
        <v/>
      </c>
      <c r="L6" s="75">
        <f>'202704'!B6</f>
        <v/>
      </c>
      <c r="M6" s="75">
        <f>'202705'!B6</f>
        <v/>
      </c>
      <c r="N6" s="76">
        <f>SUM(B6:M6)</f>
        <v/>
      </c>
    </row>
    <row r="7">
      <c r="A7" s="74">
        <f>IF(支払先マスタ!A7="","",支払先マスタ!A7)</f>
        <v/>
      </c>
      <c r="B7" s="75">
        <f>'202606'!B7</f>
        <v/>
      </c>
      <c r="C7" s="75">
        <f>'202607'!B7</f>
        <v/>
      </c>
      <c r="D7" s="75">
        <f>'202608'!B7</f>
        <v/>
      </c>
      <c r="E7" s="75">
        <f>'202609'!B7</f>
        <v/>
      </c>
      <c r="F7" s="75">
        <f>'202610'!B7</f>
        <v/>
      </c>
      <c r="G7" s="75">
        <f>'202611'!B7</f>
        <v/>
      </c>
      <c r="H7" s="75">
        <f>'202612'!B7</f>
        <v/>
      </c>
      <c r="I7" s="75">
        <f>'202701'!B7</f>
        <v/>
      </c>
      <c r="J7" s="75">
        <f>'202702'!B7</f>
        <v/>
      </c>
      <c r="K7" s="75">
        <f>'202703'!B7</f>
        <v/>
      </c>
      <c r="L7" s="75">
        <f>'202704'!B7</f>
        <v/>
      </c>
      <c r="M7" s="75">
        <f>'202705'!B7</f>
        <v/>
      </c>
      <c r="N7" s="76">
        <f>SUM(B7:M7)</f>
        <v/>
      </c>
    </row>
    <row r="8">
      <c r="A8" s="74">
        <f>IF(支払先マスタ!A8="","",支払先マスタ!A8)</f>
        <v/>
      </c>
      <c r="B8" s="75">
        <f>'202606'!B8</f>
        <v/>
      </c>
      <c r="C8" s="75">
        <f>'202607'!B8</f>
        <v/>
      </c>
      <c r="D8" s="75">
        <f>'202608'!B8</f>
        <v/>
      </c>
      <c r="E8" s="75">
        <f>'202609'!B8</f>
        <v/>
      </c>
      <c r="F8" s="75">
        <f>'202610'!B8</f>
        <v/>
      </c>
      <c r="G8" s="75">
        <f>'202611'!B8</f>
        <v/>
      </c>
      <c r="H8" s="75">
        <f>'202612'!B8</f>
        <v/>
      </c>
      <c r="I8" s="75">
        <f>'202701'!B8</f>
        <v/>
      </c>
      <c r="J8" s="75">
        <f>'202702'!B8</f>
        <v/>
      </c>
      <c r="K8" s="75">
        <f>'202703'!B8</f>
        <v/>
      </c>
      <c r="L8" s="75">
        <f>'202704'!B8</f>
        <v/>
      </c>
      <c r="M8" s="75">
        <f>'202705'!B8</f>
        <v/>
      </c>
      <c r="N8" s="76">
        <f>SUM(B8:M8)</f>
        <v/>
      </c>
    </row>
    <row r="9">
      <c r="A9" s="74">
        <f>IF(支払先マスタ!A9="","",支払先マスタ!A9)</f>
        <v/>
      </c>
      <c r="B9" s="75">
        <f>'202606'!B9</f>
        <v/>
      </c>
      <c r="C9" s="75">
        <f>'202607'!B9</f>
        <v/>
      </c>
      <c r="D9" s="75">
        <f>'202608'!B9</f>
        <v/>
      </c>
      <c r="E9" s="75">
        <f>'202609'!B9</f>
        <v/>
      </c>
      <c r="F9" s="75">
        <f>'202610'!B9</f>
        <v/>
      </c>
      <c r="G9" s="75">
        <f>'202611'!B9</f>
        <v/>
      </c>
      <c r="H9" s="75">
        <f>'202612'!B9</f>
        <v/>
      </c>
      <c r="I9" s="75">
        <f>'202701'!B9</f>
        <v/>
      </c>
      <c r="J9" s="75">
        <f>'202702'!B9</f>
        <v/>
      </c>
      <c r="K9" s="75">
        <f>'202703'!B9</f>
        <v/>
      </c>
      <c r="L9" s="75">
        <f>'202704'!B9</f>
        <v/>
      </c>
      <c r="M9" s="75">
        <f>'202705'!B9</f>
        <v/>
      </c>
      <c r="N9" s="76">
        <f>SUM(B9:M9)</f>
        <v/>
      </c>
    </row>
    <row r="10">
      <c r="A10" s="74">
        <f>IF(支払先マスタ!A10="","",支払先マスタ!A10)</f>
        <v/>
      </c>
      <c r="B10" s="75">
        <f>'202606'!B10</f>
        <v/>
      </c>
      <c r="C10" s="75">
        <f>'202607'!B10</f>
        <v/>
      </c>
      <c r="D10" s="75">
        <f>'202608'!B10</f>
        <v/>
      </c>
      <c r="E10" s="75">
        <f>'202609'!B10</f>
        <v/>
      </c>
      <c r="F10" s="75">
        <f>'202610'!B10</f>
        <v/>
      </c>
      <c r="G10" s="75">
        <f>'202611'!B10</f>
        <v/>
      </c>
      <c r="H10" s="75">
        <f>'202612'!B10</f>
        <v/>
      </c>
      <c r="I10" s="75">
        <f>'202701'!B10</f>
        <v/>
      </c>
      <c r="J10" s="75">
        <f>'202702'!B10</f>
        <v/>
      </c>
      <c r="K10" s="75">
        <f>'202703'!B10</f>
        <v/>
      </c>
      <c r="L10" s="75">
        <f>'202704'!B10</f>
        <v/>
      </c>
      <c r="M10" s="75">
        <f>'202705'!B10</f>
        <v/>
      </c>
      <c r="N10" s="76">
        <f>SUM(B10:M10)</f>
        <v/>
      </c>
    </row>
    <row r="11">
      <c r="A11" s="74">
        <f>IF(支払先マスタ!A11="","",支払先マスタ!A11)</f>
        <v/>
      </c>
      <c r="B11" s="75">
        <f>'202606'!B11</f>
        <v/>
      </c>
      <c r="C11" s="75">
        <f>'202607'!B11</f>
        <v/>
      </c>
      <c r="D11" s="75">
        <f>'202608'!B11</f>
        <v/>
      </c>
      <c r="E11" s="75">
        <f>'202609'!B11</f>
        <v/>
      </c>
      <c r="F11" s="75">
        <f>'202610'!B11</f>
        <v/>
      </c>
      <c r="G11" s="75">
        <f>'202611'!B11</f>
        <v/>
      </c>
      <c r="H11" s="75">
        <f>'202612'!B11</f>
        <v/>
      </c>
      <c r="I11" s="75">
        <f>'202701'!B11</f>
        <v/>
      </c>
      <c r="J11" s="75">
        <f>'202702'!B11</f>
        <v/>
      </c>
      <c r="K11" s="75">
        <f>'202703'!B11</f>
        <v/>
      </c>
      <c r="L11" s="75">
        <f>'202704'!B11</f>
        <v/>
      </c>
      <c r="M11" s="75">
        <f>'202705'!B11</f>
        <v/>
      </c>
      <c r="N11" s="76">
        <f>SUM(B11:M11)</f>
        <v/>
      </c>
    </row>
    <row r="12">
      <c r="A12" s="74">
        <f>IF(支払先マスタ!A12="","",支払先マスタ!A12)</f>
        <v/>
      </c>
      <c r="B12" s="75">
        <f>'202606'!B12</f>
        <v/>
      </c>
      <c r="C12" s="75">
        <f>'202607'!B12</f>
        <v/>
      </c>
      <c r="D12" s="75">
        <f>'202608'!B12</f>
        <v/>
      </c>
      <c r="E12" s="75">
        <f>'202609'!B12</f>
        <v/>
      </c>
      <c r="F12" s="75">
        <f>'202610'!B12</f>
        <v/>
      </c>
      <c r="G12" s="75">
        <f>'202611'!B12</f>
        <v/>
      </c>
      <c r="H12" s="75">
        <f>'202612'!B12</f>
        <v/>
      </c>
      <c r="I12" s="75">
        <f>'202701'!B12</f>
        <v/>
      </c>
      <c r="J12" s="75">
        <f>'202702'!B12</f>
        <v/>
      </c>
      <c r="K12" s="75">
        <f>'202703'!B12</f>
        <v/>
      </c>
      <c r="L12" s="75">
        <f>'202704'!B12</f>
        <v/>
      </c>
      <c r="M12" s="75">
        <f>'202705'!B12</f>
        <v/>
      </c>
      <c r="N12" s="76">
        <f>SUM(B12:M12)</f>
        <v/>
      </c>
    </row>
    <row r="13">
      <c r="A13" s="74">
        <f>IF(支払先マスタ!A13="","",支払先マスタ!A13)</f>
        <v/>
      </c>
      <c r="B13" s="75">
        <f>'202606'!B13</f>
        <v/>
      </c>
      <c r="C13" s="75">
        <f>'202607'!B13</f>
        <v/>
      </c>
      <c r="D13" s="75">
        <f>'202608'!B13</f>
        <v/>
      </c>
      <c r="E13" s="75">
        <f>'202609'!B13</f>
        <v/>
      </c>
      <c r="F13" s="75">
        <f>'202610'!B13</f>
        <v/>
      </c>
      <c r="G13" s="75">
        <f>'202611'!B13</f>
        <v/>
      </c>
      <c r="H13" s="75">
        <f>'202612'!B13</f>
        <v/>
      </c>
      <c r="I13" s="75">
        <f>'202701'!B13</f>
        <v/>
      </c>
      <c r="J13" s="75">
        <f>'202702'!B13</f>
        <v/>
      </c>
      <c r="K13" s="75">
        <f>'202703'!B13</f>
        <v/>
      </c>
      <c r="L13" s="75">
        <f>'202704'!B13</f>
        <v/>
      </c>
      <c r="M13" s="75">
        <f>'202705'!B13</f>
        <v/>
      </c>
      <c r="N13" s="76">
        <f>SUM(B13:M13)</f>
        <v/>
      </c>
    </row>
    <row r="14">
      <c r="A14" s="74">
        <f>IF(支払先マスタ!A14="","",支払先マスタ!A14)</f>
        <v/>
      </c>
      <c r="B14" s="75">
        <f>'202606'!B14</f>
        <v/>
      </c>
      <c r="C14" s="75">
        <f>'202607'!B14</f>
        <v/>
      </c>
      <c r="D14" s="75">
        <f>'202608'!B14</f>
        <v/>
      </c>
      <c r="E14" s="75">
        <f>'202609'!B14</f>
        <v/>
      </c>
      <c r="F14" s="75">
        <f>'202610'!B14</f>
        <v/>
      </c>
      <c r="G14" s="75">
        <f>'202611'!B14</f>
        <v/>
      </c>
      <c r="H14" s="75">
        <f>'202612'!B14</f>
        <v/>
      </c>
      <c r="I14" s="75">
        <f>'202701'!B14</f>
        <v/>
      </c>
      <c r="J14" s="75">
        <f>'202702'!B14</f>
        <v/>
      </c>
      <c r="K14" s="75">
        <f>'202703'!B14</f>
        <v/>
      </c>
      <c r="L14" s="75">
        <f>'202704'!B14</f>
        <v/>
      </c>
      <c r="M14" s="75">
        <f>'202705'!B14</f>
        <v/>
      </c>
      <c r="N14" s="76">
        <f>SUM(B14:M14)</f>
        <v/>
      </c>
    </row>
    <row r="15">
      <c r="A15" s="74">
        <f>IF(支払先マスタ!A15="","",支払先マスタ!A15)</f>
        <v/>
      </c>
      <c r="B15" s="75">
        <f>'202606'!B15</f>
        <v/>
      </c>
      <c r="C15" s="75">
        <f>'202607'!B15</f>
        <v/>
      </c>
      <c r="D15" s="75">
        <f>'202608'!B15</f>
        <v/>
      </c>
      <c r="E15" s="75">
        <f>'202609'!B15</f>
        <v/>
      </c>
      <c r="F15" s="75">
        <f>'202610'!B15</f>
        <v/>
      </c>
      <c r="G15" s="75">
        <f>'202611'!B15</f>
        <v/>
      </c>
      <c r="H15" s="75">
        <f>'202612'!B15</f>
        <v/>
      </c>
      <c r="I15" s="75">
        <f>'202701'!B15</f>
        <v/>
      </c>
      <c r="J15" s="75">
        <f>'202702'!B15</f>
        <v/>
      </c>
      <c r="K15" s="75">
        <f>'202703'!B15</f>
        <v/>
      </c>
      <c r="L15" s="75">
        <f>'202704'!B15</f>
        <v/>
      </c>
      <c r="M15" s="75">
        <f>'202705'!B15</f>
        <v/>
      </c>
      <c r="N15" s="76">
        <f>SUM(B15:M15)</f>
        <v/>
      </c>
    </row>
    <row r="16">
      <c r="A16" s="74">
        <f>IF(支払先マスタ!A16="","",支払先マスタ!A16)</f>
        <v/>
      </c>
      <c r="B16" s="75">
        <f>'202606'!B16</f>
        <v/>
      </c>
      <c r="C16" s="75">
        <f>'202607'!B16</f>
        <v/>
      </c>
      <c r="D16" s="75">
        <f>'202608'!B16</f>
        <v/>
      </c>
      <c r="E16" s="75">
        <f>'202609'!B16</f>
        <v/>
      </c>
      <c r="F16" s="75">
        <f>'202610'!B16</f>
        <v/>
      </c>
      <c r="G16" s="75">
        <f>'202611'!B16</f>
        <v/>
      </c>
      <c r="H16" s="75">
        <f>'202612'!B16</f>
        <v/>
      </c>
      <c r="I16" s="75">
        <f>'202701'!B16</f>
        <v/>
      </c>
      <c r="J16" s="75">
        <f>'202702'!B16</f>
        <v/>
      </c>
      <c r="K16" s="75">
        <f>'202703'!B16</f>
        <v/>
      </c>
      <c r="L16" s="75">
        <f>'202704'!B16</f>
        <v/>
      </c>
      <c r="M16" s="75">
        <f>'202705'!B16</f>
        <v/>
      </c>
      <c r="N16" s="76">
        <f>SUM(B16:M16)</f>
        <v/>
      </c>
    </row>
    <row r="17">
      <c r="A17" s="74">
        <f>IF(支払先マスタ!A17="","",支払先マスタ!A17)</f>
        <v/>
      </c>
      <c r="B17" s="75">
        <f>'202606'!B17</f>
        <v/>
      </c>
      <c r="C17" s="75">
        <f>'202607'!B17</f>
        <v/>
      </c>
      <c r="D17" s="75">
        <f>'202608'!B17</f>
        <v/>
      </c>
      <c r="E17" s="75">
        <f>'202609'!B17</f>
        <v/>
      </c>
      <c r="F17" s="75">
        <f>'202610'!B17</f>
        <v/>
      </c>
      <c r="G17" s="75">
        <f>'202611'!B17</f>
        <v/>
      </c>
      <c r="H17" s="75">
        <f>'202612'!B17</f>
        <v/>
      </c>
      <c r="I17" s="75">
        <f>'202701'!B17</f>
        <v/>
      </c>
      <c r="J17" s="75">
        <f>'202702'!B17</f>
        <v/>
      </c>
      <c r="K17" s="75">
        <f>'202703'!B17</f>
        <v/>
      </c>
      <c r="L17" s="75">
        <f>'202704'!B17</f>
        <v/>
      </c>
      <c r="M17" s="75">
        <f>'202705'!B17</f>
        <v/>
      </c>
      <c r="N17" s="76">
        <f>SUM(B17:M17)</f>
        <v/>
      </c>
    </row>
    <row r="18">
      <c r="A18" s="74">
        <f>IF(支払先マスタ!A18="","",支払先マスタ!A18)</f>
        <v/>
      </c>
      <c r="B18" s="75">
        <f>'202606'!B18</f>
        <v/>
      </c>
      <c r="C18" s="75">
        <f>'202607'!B18</f>
        <v/>
      </c>
      <c r="D18" s="75">
        <f>'202608'!B18</f>
        <v/>
      </c>
      <c r="E18" s="75">
        <f>'202609'!B18</f>
        <v/>
      </c>
      <c r="F18" s="75">
        <f>'202610'!B18</f>
        <v/>
      </c>
      <c r="G18" s="75">
        <f>'202611'!B18</f>
        <v/>
      </c>
      <c r="H18" s="75">
        <f>'202612'!B18</f>
        <v/>
      </c>
      <c r="I18" s="75">
        <f>'202701'!B18</f>
        <v/>
      </c>
      <c r="J18" s="75">
        <f>'202702'!B18</f>
        <v/>
      </c>
      <c r="K18" s="75">
        <f>'202703'!B18</f>
        <v/>
      </c>
      <c r="L18" s="75">
        <f>'202704'!B18</f>
        <v/>
      </c>
      <c r="M18" s="75">
        <f>'202705'!B18</f>
        <v/>
      </c>
      <c r="N18" s="76">
        <f>SUM(B18:M18)</f>
        <v/>
      </c>
    </row>
    <row r="19">
      <c r="A19" s="74">
        <f>IF(支払先マスタ!A19="","",支払先マスタ!A19)</f>
        <v/>
      </c>
      <c r="B19" s="75">
        <f>'202606'!B19</f>
        <v/>
      </c>
      <c r="C19" s="75">
        <f>'202607'!B19</f>
        <v/>
      </c>
      <c r="D19" s="75">
        <f>'202608'!B19</f>
        <v/>
      </c>
      <c r="E19" s="75">
        <f>'202609'!B19</f>
        <v/>
      </c>
      <c r="F19" s="75">
        <f>'202610'!B19</f>
        <v/>
      </c>
      <c r="G19" s="75">
        <f>'202611'!B19</f>
        <v/>
      </c>
      <c r="H19" s="75">
        <f>'202612'!B19</f>
        <v/>
      </c>
      <c r="I19" s="75">
        <f>'202701'!B19</f>
        <v/>
      </c>
      <c r="J19" s="75">
        <f>'202702'!B19</f>
        <v/>
      </c>
      <c r="K19" s="75">
        <f>'202703'!B19</f>
        <v/>
      </c>
      <c r="L19" s="75">
        <f>'202704'!B19</f>
        <v/>
      </c>
      <c r="M19" s="75">
        <f>'202705'!B19</f>
        <v/>
      </c>
      <c r="N19" s="76">
        <f>SUM(B19:M19)</f>
        <v/>
      </c>
    </row>
    <row r="20">
      <c r="A20" s="74">
        <f>IF(支払先マスタ!A20="","",支払先マスタ!A20)</f>
        <v/>
      </c>
      <c r="B20" s="75">
        <f>'202606'!B20</f>
        <v/>
      </c>
      <c r="C20" s="75">
        <f>'202607'!B20</f>
        <v/>
      </c>
      <c r="D20" s="75">
        <f>'202608'!B20</f>
        <v/>
      </c>
      <c r="E20" s="75">
        <f>'202609'!B20</f>
        <v/>
      </c>
      <c r="F20" s="75">
        <f>'202610'!B20</f>
        <v/>
      </c>
      <c r="G20" s="75">
        <f>'202611'!B20</f>
        <v/>
      </c>
      <c r="H20" s="75">
        <f>'202612'!B20</f>
        <v/>
      </c>
      <c r="I20" s="75">
        <f>'202701'!B20</f>
        <v/>
      </c>
      <c r="J20" s="75">
        <f>'202702'!B20</f>
        <v/>
      </c>
      <c r="K20" s="75">
        <f>'202703'!B20</f>
        <v/>
      </c>
      <c r="L20" s="75">
        <f>'202704'!B20</f>
        <v/>
      </c>
      <c r="M20" s="75">
        <f>'202705'!B20</f>
        <v/>
      </c>
      <c r="N20" s="76">
        <f>SUM(B20:M20)</f>
        <v/>
      </c>
    </row>
    <row r="21">
      <c r="A21" s="74">
        <f>IF(支払先マスタ!A21="","",支払先マスタ!A21)</f>
        <v/>
      </c>
      <c r="B21" s="75">
        <f>'202606'!B21</f>
        <v/>
      </c>
      <c r="C21" s="75">
        <f>'202607'!B21</f>
        <v/>
      </c>
      <c r="D21" s="75">
        <f>'202608'!B21</f>
        <v/>
      </c>
      <c r="E21" s="75">
        <f>'202609'!B21</f>
        <v/>
      </c>
      <c r="F21" s="75">
        <f>'202610'!B21</f>
        <v/>
      </c>
      <c r="G21" s="75">
        <f>'202611'!B21</f>
        <v/>
      </c>
      <c r="H21" s="75">
        <f>'202612'!B21</f>
        <v/>
      </c>
      <c r="I21" s="75">
        <f>'202701'!B21</f>
        <v/>
      </c>
      <c r="J21" s="75">
        <f>'202702'!B21</f>
        <v/>
      </c>
      <c r="K21" s="75">
        <f>'202703'!B21</f>
        <v/>
      </c>
      <c r="L21" s="75">
        <f>'202704'!B21</f>
        <v/>
      </c>
      <c r="M21" s="75">
        <f>'202705'!B21</f>
        <v/>
      </c>
      <c r="N21" s="76">
        <f>SUM(B21:M21)</f>
        <v/>
      </c>
    </row>
    <row r="22">
      <c r="A22" s="74">
        <f>IF(支払先マスタ!A22="","",支払先マスタ!A22)</f>
        <v/>
      </c>
      <c r="B22" s="75">
        <f>'202606'!B22</f>
        <v/>
      </c>
      <c r="C22" s="75">
        <f>'202607'!B22</f>
        <v/>
      </c>
      <c r="D22" s="75">
        <f>'202608'!B22</f>
        <v/>
      </c>
      <c r="E22" s="75">
        <f>'202609'!B22</f>
        <v/>
      </c>
      <c r="F22" s="75">
        <f>'202610'!B22</f>
        <v/>
      </c>
      <c r="G22" s="75">
        <f>'202611'!B22</f>
        <v/>
      </c>
      <c r="H22" s="75">
        <f>'202612'!B22</f>
        <v/>
      </c>
      <c r="I22" s="75">
        <f>'202701'!B22</f>
        <v/>
      </c>
      <c r="J22" s="75">
        <f>'202702'!B22</f>
        <v/>
      </c>
      <c r="K22" s="75">
        <f>'202703'!B22</f>
        <v/>
      </c>
      <c r="L22" s="75">
        <f>'202704'!B22</f>
        <v/>
      </c>
      <c r="M22" s="75">
        <f>'202705'!B22</f>
        <v/>
      </c>
      <c r="N22" s="76">
        <f>SUM(B22:M22)</f>
        <v/>
      </c>
    </row>
    <row r="23">
      <c r="A23" s="74">
        <f>IF(支払先マスタ!A23="","",支払先マスタ!A23)</f>
        <v/>
      </c>
      <c r="B23" s="75">
        <f>'202606'!B23</f>
        <v/>
      </c>
      <c r="C23" s="75">
        <f>'202607'!B23</f>
        <v/>
      </c>
      <c r="D23" s="75">
        <f>'202608'!B23</f>
        <v/>
      </c>
      <c r="E23" s="75">
        <f>'202609'!B23</f>
        <v/>
      </c>
      <c r="F23" s="75">
        <f>'202610'!B23</f>
        <v/>
      </c>
      <c r="G23" s="75">
        <f>'202611'!B23</f>
        <v/>
      </c>
      <c r="H23" s="75">
        <f>'202612'!B23</f>
        <v/>
      </c>
      <c r="I23" s="75">
        <f>'202701'!B23</f>
        <v/>
      </c>
      <c r="J23" s="75">
        <f>'202702'!B23</f>
        <v/>
      </c>
      <c r="K23" s="75">
        <f>'202703'!B23</f>
        <v/>
      </c>
      <c r="L23" s="75">
        <f>'202704'!B23</f>
        <v/>
      </c>
      <c r="M23" s="75">
        <f>'202705'!B23</f>
        <v/>
      </c>
      <c r="N23" s="76">
        <f>SUM(B23:M23)</f>
        <v/>
      </c>
    </row>
    <row r="24">
      <c r="A24" s="74">
        <f>IF(支払先マスタ!A24="","",支払先マスタ!A24)</f>
        <v/>
      </c>
      <c r="B24" s="75">
        <f>'202606'!B24</f>
        <v/>
      </c>
      <c r="C24" s="75">
        <f>'202607'!B24</f>
        <v/>
      </c>
      <c r="D24" s="75">
        <f>'202608'!B24</f>
        <v/>
      </c>
      <c r="E24" s="75">
        <f>'202609'!B24</f>
        <v/>
      </c>
      <c r="F24" s="75">
        <f>'202610'!B24</f>
        <v/>
      </c>
      <c r="G24" s="75">
        <f>'202611'!B24</f>
        <v/>
      </c>
      <c r="H24" s="75">
        <f>'202612'!B24</f>
        <v/>
      </c>
      <c r="I24" s="75">
        <f>'202701'!B24</f>
        <v/>
      </c>
      <c r="J24" s="75">
        <f>'202702'!B24</f>
        <v/>
      </c>
      <c r="K24" s="75">
        <f>'202703'!B24</f>
        <v/>
      </c>
      <c r="L24" s="75">
        <f>'202704'!B24</f>
        <v/>
      </c>
      <c r="M24" s="75">
        <f>'202705'!B24</f>
        <v/>
      </c>
      <c r="N24" s="76">
        <f>SUM(B24:M24)</f>
        <v/>
      </c>
    </row>
    <row r="25">
      <c r="A25" s="74">
        <f>IF(支払先マスタ!A25="","",支払先マスタ!A25)</f>
        <v/>
      </c>
      <c r="B25" s="75">
        <f>'202606'!B25</f>
        <v/>
      </c>
      <c r="C25" s="75">
        <f>'202607'!B25</f>
        <v/>
      </c>
      <c r="D25" s="75">
        <f>'202608'!B25</f>
        <v/>
      </c>
      <c r="E25" s="75">
        <f>'202609'!B25</f>
        <v/>
      </c>
      <c r="F25" s="75">
        <f>'202610'!B25</f>
        <v/>
      </c>
      <c r="G25" s="75">
        <f>'202611'!B25</f>
        <v/>
      </c>
      <c r="H25" s="75">
        <f>'202612'!B25</f>
        <v/>
      </c>
      <c r="I25" s="75">
        <f>'202701'!B25</f>
        <v/>
      </c>
      <c r="J25" s="75">
        <f>'202702'!B25</f>
        <v/>
      </c>
      <c r="K25" s="75">
        <f>'202703'!B25</f>
        <v/>
      </c>
      <c r="L25" s="75">
        <f>'202704'!B25</f>
        <v/>
      </c>
      <c r="M25" s="75">
        <f>'202705'!B25</f>
        <v/>
      </c>
      <c r="N25" s="76">
        <f>SUM(B25:M25)</f>
        <v/>
      </c>
    </row>
    <row r="26">
      <c r="A26" s="74">
        <f>IF(支払先マスタ!A26="","",支払先マスタ!A26)</f>
        <v/>
      </c>
      <c r="B26" s="75">
        <f>'202606'!B26</f>
        <v/>
      </c>
      <c r="C26" s="75">
        <f>'202607'!B26</f>
        <v/>
      </c>
      <c r="D26" s="75">
        <f>'202608'!B26</f>
        <v/>
      </c>
      <c r="E26" s="75">
        <f>'202609'!B26</f>
        <v/>
      </c>
      <c r="F26" s="75">
        <f>'202610'!B26</f>
        <v/>
      </c>
      <c r="G26" s="75">
        <f>'202611'!B26</f>
        <v/>
      </c>
      <c r="H26" s="75">
        <f>'202612'!B26</f>
        <v/>
      </c>
      <c r="I26" s="75">
        <f>'202701'!B26</f>
        <v/>
      </c>
      <c r="J26" s="75">
        <f>'202702'!B26</f>
        <v/>
      </c>
      <c r="K26" s="75">
        <f>'202703'!B26</f>
        <v/>
      </c>
      <c r="L26" s="75">
        <f>'202704'!B26</f>
        <v/>
      </c>
      <c r="M26" s="75">
        <f>'202705'!B26</f>
        <v/>
      </c>
      <c r="N26" s="76">
        <f>SUM(B26:M26)</f>
        <v/>
      </c>
    </row>
    <row r="27">
      <c r="A27" s="74">
        <f>IF(支払先マスタ!A27="","",支払先マスタ!A27)</f>
        <v/>
      </c>
      <c r="B27" s="75">
        <f>'202606'!B27</f>
        <v/>
      </c>
      <c r="C27" s="75">
        <f>'202607'!B27</f>
        <v/>
      </c>
      <c r="D27" s="75">
        <f>'202608'!B27</f>
        <v/>
      </c>
      <c r="E27" s="75">
        <f>'202609'!B27</f>
        <v/>
      </c>
      <c r="F27" s="75">
        <f>'202610'!B27</f>
        <v/>
      </c>
      <c r="G27" s="75">
        <f>'202611'!B27</f>
        <v/>
      </c>
      <c r="H27" s="75">
        <f>'202612'!B27</f>
        <v/>
      </c>
      <c r="I27" s="75">
        <f>'202701'!B27</f>
        <v/>
      </c>
      <c r="J27" s="75">
        <f>'202702'!B27</f>
        <v/>
      </c>
      <c r="K27" s="75">
        <f>'202703'!B27</f>
        <v/>
      </c>
      <c r="L27" s="75">
        <f>'202704'!B27</f>
        <v/>
      </c>
      <c r="M27" s="75">
        <f>'202705'!B27</f>
        <v/>
      </c>
      <c r="N27" s="76">
        <f>SUM(B27:M27)</f>
        <v/>
      </c>
    </row>
    <row r="28">
      <c r="A28" s="74">
        <f>IF(支払先マスタ!A28="","",支払先マスタ!A28)</f>
        <v/>
      </c>
      <c r="B28" s="75">
        <f>'202606'!B28</f>
        <v/>
      </c>
      <c r="C28" s="75">
        <f>'202607'!B28</f>
        <v/>
      </c>
      <c r="D28" s="75">
        <f>'202608'!B28</f>
        <v/>
      </c>
      <c r="E28" s="75">
        <f>'202609'!B28</f>
        <v/>
      </c>
      <c r="F28" s="75">
        <f>'202610'!B28</f>
        <v/>
      </c>
      <c r="G28" s="75">
        <f>'202611'!B28</f>
        <v/>
      </c>
      <c r="H28" s="75">
        <f>'202612'!B28</f>
        <v/>
      </c>
      <c r="I28" s="75">
        <f>'202701'!B28</f>
        <v/>
      </c>
      <c r="J28" s="75">
        <f>'202702'!B28</f>
        <v/>
      </c>
      <c r="K28" s="75">
        <f>'202703'!B28</f>
        <v/>
      </c>
      <c r="L28" s="75">
        <f>'202704'!B28</f>
        <v/>
      </c>
      <c r="M28" s="75">
        <f>'202705'!B28</f>
        <v/>
      </c>
      <c r="N28" s="76">
        <f>SUM(B28:M28)</f>
        <v/>
      </c>
    </row>
    <row r="29">
      <c r="A29" s="74">
        <f>IF(支払先マスタ!A29="","",支払先マスタ!A29)</f>
        <v/>
      </c>
      <c r="B29" s="75">
        <f>'202606'!B29</f>
        <v/>
      </c>
      <c r="C29" s="75">
        <f>'202607'!B29</f>
        <v/>
      </c>
      <c r="D29" s="75">
        <f>'202608'!B29</f>
        <v/>
      </c>
      <c r="E29" s="75">
        <f>'202609'!B29</f>
        <v/>
      </c>
      <c r="F29" s="75">
        <f>'202610'!B29</f>
        <v/>
      </c>
      <c r="G29" s="75">
        <f>'202611'!B29</f>
        <v/>
      </c>
      <c r="H29" s="75">
        <f>'202612'!B29</f>
        <v/>
      </c>
      <c r="I29" s="75">
        <f>'202701'!B29</f>
        <v/>
      </c>
      <c r="J29" s="75">
        <f>'202702'!B29</f>
        <v/>
      </c>
      <c r="K29" s="75">
        <f>'202703'!B29</f>
        <v/>
      </c>
      <c r="L29" s="75">
        <f>'202704'!B29</f>
        <v/>
      </c>
      <c r="M29" s="75">
        <f>'202705'!B29</f>
        <v/>
      </c>
      <c r="N29" s="76">
        <f>SUM(B29:M29)</f>
        <v/>
      </c>
    </row>
    <row r="30">
      <c r="A30" s="74">
        <f>IF(支払先マスタ!A30="","",支払先マスタ!A30)</f>
        <v/>
      </c>
      <c r="B30" s="75">
        <f>'202606'!B30</f>
        <v/>
      </c>
      <c r="C30" s="75">
        <f>'202607'!B30</f>
        <v/>
      </c>
      <c r="D30" s="75">
        <f>'202608'!B30</f>
        <v/>
      </c>
      <c r="E30" s="75">
        <f>'202609'!B30</f>
        <v/>
      </c>
      <c r="F30" s="75">
        <f>'202610'!B30</f>
        <v/>
      </c>
      <c r="G30" s="75">
        <f>'202611'!B30</f>
        <v/>
      </c>
      <c r="H30" s="75">
        <f>'202612'!B30</f>
        <v/>
      </c>
      <c r="I30" s="75">
        <f>'202701'!B30</f>
        <v/>
      </c>
      <c r="J30" s="75">
        <f>'202702'!B30</f>
        <v/>
      </c>
      <c r="K30" s="75">
        <f>'202703'!B30</f>
        <v/>
      </c>
      <c r="L30" s="75">
        <f>'202704'!B30</f>
        <v/>
      </c>
      <c r="M30" s="75">
        <f>'202705'!B30</f>
        <v/>
      </c>
      <c r="N30" s="76">
        <f>SUM(B30:M30)</f>
        <v/>
      </c>
    </row>
    <row r="31">
      <c r="A31" s="74">
        <f>IF(支払先マスタ!A31="","",支払先マスタ!A31)</f>
        <v/>
      </c>
      <c r="B31" s="75">
        <f>'202606'!B31</f>
        <v/>
      </c>
      <c r="C31" s="75">
        <f>'202607'!B31</f>
        <v/>
      </c>
      <c r="D31" s="75">
        <f>'202608'!B31</f>
        <v/>
      </c>
      <c r="E31" s="75">
        <f>'202609'!B31</f>
        <v/>
      </c>
      <c r="F31" s="75">
        <f>'202610'!B31</f>
        <v/>
      </c>
      <c r="G31" s="75">
        <f>'202611'!B31</f>
        <v/>
      </c>
      <c r="H31" s="75">
        <f>'202612'!B31</f>
        <v/>
      </c>
      <c r="I31" s="75">
        <f>'202701'!B31</f>
        <v/>
      </c>
      <c r="J31" s="75">
        <f>'202702'!B31</f>
        <v/>
      </c>
      <c r="K31" s="75">
        <f>'202703'!B31</f>
        <v/>
      </c>
      <c r="L31" s="75">
        <f>'202704'!B31</f>
        <v/>
      </c>
      <c r="M31" s="75">
        <f>'202705'!B31</f>
        <v/>
      </c>
      <c r="N31" s="76">
        <f>SUM(B31:M31)</f>
        <v/>
      </c>
    </row>
    <row r="32">
      <c r="A32" s="74">
        <f>IF(支払先マスタ!A32="","",支払先マスタ!A32)</f>
        <v/>
      </c>
      <c r="B32" s="75">
        <f>'202606'!B32</f>
        <v/>
      </c>
      <c r="C32" s="75">
        <f>'202607'!B32</f>
        <v/>
      </c>
      <c r="D32" s="75">
        <f>'202608'!B32</f>
        <v/>
      </c>
      <c r="E32" s="75">
        <f>'202609'!B32</f>
        <v/>
      </c>
      <c r="F32" s="75">
        <f>'202610'!B32</f>
        <v/>
      </c>
      <c r="G32" s="75">
        <f>'202611'!B32</f>
        <v/>
      </c>
      <c r="H32" s="75">
        <f>'202612'!B32</f>
        <v/>
      </c>
      <c r="I32" s="75">
        <f>'202701'!B32</f>
        <v/>
      </c>
      <c r="J32" s="75">
        <f>'202702'!B32</f>
        <v/>
      </c>
      <c r="K32" s="75">
        <f>'202703'!B32</f>
        <v/>
      </c>
      <c r="L32" s="75">
        <f>'202704'!B32</f>
        <v/>
      </c>
      <c r="M32" s="75">
        <f>'202705'!B32</f>
        <v/>
      </c>
      <c r="N32" s="76">
        <f>SUM(B32:M32)</f>
        <v/>
      </c>
    </row>
    <row r="33">
      <c r="A33" s="74">
        <f>IF(支払先マスタ!A33="","",支払先マスタ!A33)</f>
        <v/>
      </c>
      <c r="B33" s="75">
        <f>'202606'!B33</f>
        <v/>
      </c>
      <c r="C33" s="75">
        <f>'202607'!B33</f>
        <v/>
      </c>
      <c r="D33" s="75">
        <f>'202608'!B33</f>
        <v/>
      </c>
      <c r="E33" s="75">
        <f>'202609'!B33</f>
        <v/>
      </c>
      <c r="F33" s="75">
        <f>'202610'!B33</f>
        <v/>
      </c>
      <c r="G33" s="75">
        <f>'202611'!B33</f>
        <v/>
      </c>
      <c r="H33" s="75">
        <f>'202612'!B33</f>
        <v/>
      </c>
      <c r="I33" s="75">
        <f>'202701'!B33</f>
        <v/>
      </c>
      <c r="J33" s="75">
        <f>'202702'!B33</f>
        <v/>
      </c>
      <c r="K33" s="75">
        <f>'202703'!B33</f>
        <v/>
      </c>
      <c r="L33" s="75">
        <f>'202704'!B33</f>
        <v/>
      </c>
      <c r="M33" s="75">
        <f>'202705'!B33</f>
        <v/>
      </c>
      <c r="N33" s="76">
        <f>SUM(B33:M33)</f>
        <v/>
      </c>
    </row>
    <row r="34">
      <c r="A34" s="74">
        <f>IF(支払先マスタ!A34="","",支払先マスタ!A34)</f>
        <v/>
      </c>
      <c r="B34" s="75">
        <f>'202606'!B34</f>
        <v/>
      </c>
      <c r="C34" s="75">
        <f>'202607'!B34</f>
        <v/>
      </c>
      <c r="D34" s="75">
        <f>'202608'!B34</f>
        <v/>
      </c>
      <c r="E34" s="75">
        <f>'202609'!B34</f>
        <v/>
      </c>
      <c r="F34" s="75">
        <f>'202610'!B34</f>
        <v/>
      </c>
      <c r="G34" s="75">
        <f>'202611'!B34</f>
        <v/>
      </c>
      <c r="H34" s="75">
        <f>'202612'!B34</f>
        <v/>
      </c>
      <c r="I34" s="75">
        <f>'202701'!B34</f>
        <v/>
      </c>
      <c r="J34" s="75">
        <f>'202702'!B34</f>
        <v/>
      </c>
      <c r="K34" s="75">
        <f>'202703'!B34</f>
        <v/>
      </c>
      <c r="L34" s="75">
        <f>'202704'!B34</f>
        <v/>
      </c>
      <c r="M34" s="75">
        <f>'202705'!B34</f>
        <v/>
      </c>
      <c r="N34" s="76">
        <f>SUM(B34:M34)</f>
        <v/>
      </c>
    </row>
    <row r="35">
      <c r="A35" s="74">
        <f>IF(支払先マスタ!A35="","",支払先マスタ!A35)</f>
        <v/>
      </c>
      <c r="B35" s="75">
        <f>'202606'!B35</f>
        <v/>
      </c>
      <c r="C35" s="75">
        <f>'202607'!B35</f>
        <v/>
      </c>
      <c r="D35" s="75">
        <f>'202608'!B35</f>
        <v/>
      </c>
      <c r="E35" s="75">
        <f>'202609'!B35</f>
        <v/>
      </c>
      <c r="F35" s="75">
        <f>'202610'!B35</f>
        <v/>
      </c>
      <c r="G35" s="75">
        <f>'202611'!B35</f>
        <v/>
      </c>
      <c r="H35" s="75">
        <f>'202612'!B35</f>
        <v/>
      </c>
      <c r="I35" s="75">
        <f>'202701'!B35</f>
        <v/>
      </c>
      <c r="J35" s="75">
        <f>'202702'!B35</f>
        <v/>
      </c>
      <c r="K35" s="75">
        <f>'202703'!B35</f>
        <v/>
      </c>
      <c r="L35" s="75">
        <f>'202704'!B35</f>
        <v/>
      </c>
      <c r="M35" s="75">
        <f>'202705'!B35</f>
        <v/>
      </c>
      <c r="N35" s="76">
        <f>SUM(B35:M35)</f>
        <v/>
      </c>
    </row>
    <row r="36">
      <c r="A36" s="74">
        <f>IF(支払先マスタ!A36="","",支払先マスタ!A36)</f>
        <v/>
      </c>
      <c r="B36" s="75">
        <f>'202606'!B36</f>
        <v/>
      </c>
      <c r="C36" s="75">
        <f>'202607'!B36</f>
        <v/>
      </c>
      <c r="D36" s="75">
        <f>'202608'!B36</f>
        <v/>
      </c>
      <c r="E36" s="75">
        <f>'202609'!B36</f>
        <v/>
      </c>
      <c r="F36" s="75">
        <f>'202610'!B36</f>
        <v/>
      </c>
      <c r="G36" s="75">
        <f>'202611'!B36</f>
        <v/>
      </c>
      <c r="H36" s="75">
        <f>'202612'!B36</f>
        <v/>
      </c>
      <c r="I36" s="75">
        <f>'202701'!B36</f>
        <v/>
      </c>
      <c r="J36" s="75">
        <f>'202702'!B36</f>
        <v/>
      </c>
      <c r="K36" s="75">
        <f>'202703'!B36</f>
        <v/>
      </c>
      <c r="L36" s="75">
        <f>'202704'!B36</f>
        <v/>
      </c>
      <c r="M36" s="75">
        <f>'202705'!B36</f>
        <v/>
      </c>
      <c r="N36" s="76">
        <f>SUM(B36:M36)</f>
        <v/>
      </c>
    </row>
    <row r="37">
      <c r="A37" s="74">
        <f>IF(支払先マスタ!A37="","",支払先マスタ!A37)</f>
        <v/>
      </c>
      <c r="B37" s="75">
        <f>'202606'!B37</f>
        <v/>
      </c>
      <c r="C37" s="75">
        <f>'202607'!B37</f>
        <v/>
      </c>
      <c r="D37" s="75">
        <f>'202608'!B37</f>
        <v/>
      </c>
      <c r="E37" s="75">
        <f>'202609'!B37</f>
        <v/>
      </c>
      <c r="F37" s="75">
        <f>'202610'!B37</f>
        <v/>
      </c>
      <c r="G37" s="75">
        <f>'202611'!B37</f>
        <v/>
      </c>
      <c r="H37" s="75">
        <f>'202612'!B37</f>
        <v/>
      </c>
      <c r="I37" s="75">
        <f>'202701'!B37</f>
        <v/>
      </c>
      <c r="J37" s="75">
        <f>'202702'!B37</f>
        <v/>
      </c>
      <c r="K37" s="75">
        <f>'202703'!B37</f>
        <v/>
      </c>
      <c r="L37" s="75">
        <f>'202704'!B37</f>
        <v/>
      </c>
      <c r="M37" s="75">
        <f>'202705'!B37</f>
        <v/>
      </c>
      <c r="N37" s="76">
        <f>SUM(B37:M37)</f>
        <v/>
      </c>
    </row>
    <row r="38">
      <c r="A38" s="74">
        <f>IF(支払先マスタ!A38="","",支払先マスタ!A38)</f>
        <v/>
      </c>
      <c r="B38" s="75">
        <f>'202606'!B38</f>
        <v/>
      </c>
      <c r="C38" s="75">
        <f>'202607'!B38</f>
        <v/>
      </c>
      <c r="D38" s="75">
        <f>'202608'!B38</f>
        <v/>
      </c>
      <c r="E38" s="75">
        <f>'202609'!B38</f>
        <v/>
      </c>
      <c r="F38" s="75">
        <f>'202610'!B38</f>
        <v/>
      </c>
      <c r="G38" s="75">
        <f>'202611'!B38</f>
        <v/>
      </c>
      <c r="H38" s="75">
        <f>'202612'!B38</f>
        <v/>
      </c>
      <c r="I38" s="75">
        <f>'202701'!B38</f>
        <v/>
      </c>
      <c r="J38" s="75">
        <f>'202702'!B38</f>
        <v/>
      </c>
      <c r="K38" s="75">
        <f>'202703'!B38</f>
        <v/>
      </c>
      <c r="L38" s="75">
        <f>'202704'!B38</f>
        <v/>
      </c>
      <c r="M38" s="75">
        <f>'202705'!B38</f>
        <v/>
      </c>
      <c r="N38" s="76">
        <f>SUM(B38:M38)</f>
        <v/>
      </c>
    </row>
    <row r="39">
      <c r="A39" s="74">
        <f>IF(支払先マスタ!A39="","",支払先マスタ!A39)</f>
        <v/>
      </c>
      <c r="B39" s="75">
        <f>'202606'!B39</f>
        <v/>
      </c>
      <c r="C39" s="75">
        <f>'202607'!B39</f>
        <v/>
      </c>
      <c r="D39" s="75">
        <f>'202608'!B39</f>
        <v/>
      </c>
      <c r="E39" s="75">
        <f>'202609'!B39</f>
        <v/>
      </c>
      <c r="F39" s="75">
        <f>'202610'!B39</f>
        <v/>
      </c>
      <c r="G39" s="75">
        <f>'202611'!B39</f>
        <v/>
      </c>
      <c r="H39" s="75">
        <f>'202612'!B39</f>
        <v/>
      </c>
      <c r="I39" s="75">
        <f>'202701'!B39</f>
        <v/>
      </c>
      <c r="J39" s="75">
        <f>'202702'!B39</f>
        <v/>
      </c>
      <c r="K39" s="75">
        <f>'202703'!B39</f>
        <v/>
      </c>
      <c r="L39" s="75">
        <f>'202704'!B39</f>
        <v/>
      </c>
      <c r="M39" s="75">
        <f>'202705'!B39</f>
        <v/>
      </c>
      <c r="N39" s="76">
        <f>SUM(B39:M39)</f>
        <v/>
      </c>
    </row>
    <row r="40">
      <c r="A40" s="74">
        <f>IF(支払先マスタ!A40="","",支払先マスタ!A40)</f>
        <v/>
      </c>
      <c r="B40" s="75">
        <f>'202606'!B40</f>
        <v/>
      </c>
      <c r="C40" s="75">
        <f>'202607'!B40</f>
        <v/>
      </c>
      <c r="D40" s="75">
        <f>'202608'!B40</f>
        <v/>
      </c>
      <c r="E40" s="75">
        <f>'202609'!B40</f>
        <v/>
      </c>
      <c r="F40" s="75">
        <f>'202610'!B40</f>
        <v/>
      </c>
      <c r="G40" s="75">
        <f>'202611'!B40</f>
        <v/>
      </c>
      <c r="H40" s="75">
        <f>'202612'!B40</f>
        <v/>
      </c>
      <c r="I40" s="75">
        <f>'202701'!B40</f>
        <v/>
      </c>
      <c r="J40" s="75">
        <f>'202702'!B40</f>
        <v/>
      </c>
      <c r="K40" s="75">
        <f>'202703'!B40</f>
        <v/>
      </c>
      <c r="L40" s="75">
        <f>'202704'!B40</f>
        <v/>
      </c>
      <c r="M40" s="75">
        <f>'202705'!B40</f>
        <v/>
      </c>
      <c r="N40" s="76">
        <f>SUM(B40:M40)</f>
        <v/>
      </c>
    </row>
    <row r="41">
      <c r="A41" s="74">
        <f>IF(支払先マスタ!A41="","",支払先マスタ!A41)</f>
        <v/>
      </c>
      <c r="B41" s="75">
        <f>'202606'!B41</f>
        <v/>
      </c>
      <c r="C41" s="75">
        <f>'202607'!B41</f>
        <v/>
      </c>
      <c r="D41" s="75">
        <f>'202608'!B41</f>
        <v/>
      </c>
      <c r="E41" s="75">
        <f>'202609'!B41</f>
        <v/>
      </c>
      <c r="F41" s="75">
        <f>'202610'!B41</f>
        <v/>
      </c>
      <c r="G41" s="75">
        <f>'202611'!B41</f>
        <v/>
      </c>
      <c r="H41" s="75">
        <f>'202612'!B41</f>
        <v/>
      </c>
      <c r="I41" s="75">
        <f>'202701'!B41</f>
        <v/>
      </c>
      <c r="J41" s="75">
        <f>'202702'!B41</f>
        <v/>
      </c>
      <c r="K41" s="75">
        <f>'202703'!B41</f>
        <v/>
      </c>
      <c r="L41" s="75">
        <f>'202704'!B41</f>
        <v/>
      </c>
      <c r="M41" s="75">
        <f>'202705'!B41</f>
        <v/>
      </c>
      <c r="N41" s="76">
        <f>SUM(B41:M41)</f>
        <v/>
      </c>
    </row>
    <row r="42">
      <c r="A42" s="74">
        <f>IF(支払先マスタ!A42="","",支払先マスタ!A42)</f>
        <v/>
      </c>
      <c r="B42" s="75">
        <f>'202606'!B42</f>
        <v/>
      </c>
      <c r="C42" s="75">
        <f>'202607'!B42</f>
        <v/>
      </c>
      <c r="D42" s="75">
        <f>'202608'!B42</f>
        <v/>
      </c>
      <c r="E42" s="75">
        <f>'202609'!B42</f>
        <v/>
      </c>
      <c r="F42" s="75">
        <f>'202610'!B42</f>
        <v/>
      </c>
      <c r="G42" s="75">
        <f>'202611'!B42</f>
        <v/>
      </c>
      <c r="H42" s="75">
        <f>'202612'!B42</f>
        <v/>
      </c>
      <c r="I42" s="75">
        <f>'202701'!B42</f>
        <v/>
      </c>
      <c r="J42" s="75">
        <f>'202702'!B42</f>
        <v/>
      </c>
      <c r="K42" s="75">
        <f>'202703'!B42</f>
        <v/>
      </c>
      <c r="L42" s="75">
        <f>'202704'!B42</f>
        <v/>
      </c>
      <c r="M42" s="75">
        <f>'202705'!B42</f>
        <v/>
      </c>
      <c r="N42" s="76">
        <f>SUM(B42:M42)</f>
        <v/>
      </c>
    </row>
    <row r="43">
      <c r="A43" s="74">
        <f>IF(支払先マスタ!A43="","",支払先マスタ!A43)</f>
        <v/>
      </c>
      <c r="B43" s="75">
        <f>'202606'!B43</f>
        <v/>
      </c>
      <c r="C43" s="75">
        <f>'202607'!B43</f>
        <v/>
      </c>
      <c r="D43" s="75">
        <f>'202608'!B43</f>
        <v/>
      </c>
      <c r="E43" s="75">
        <f>'202609'!B43</f>
        <v/>
      </c>
      <c r="F43" s="75">
        <f>'202610'!B43</f>
        <v/>
      </c>
      <c r="G43" s="75">
        <f>'202611'!B43</f>
        <v/>
      </c>
      <c r="H43" s="75">
        <f>'202612'!B43</f>
        <v/>
      </c>
      <c r="I43" s="75">
        <f>'202701'!B43</f>
        <v/>
      </c>
      <c r="J43" s="75">
        <f>'202702'!B43</f>
        <v/>
      </c>
      <c r="K43" s="75">
        <f>'202703'!B43</f>
        <v/>
      </c>
      <c r="L43" s="75">
        <f>'202704'!B43</f>
        <v/>
      </c>
      <c r="M43" s="75">
        <f>'202705'!B43</f>
        <v/>
      </c>
      <c r="N43" s="76">
        <f>SUM(B43:M43)</f>
        <v/>
      </c>
    </row>
    <row r="44">
      <c r="A44" s="74">
        <f>IF(支払先マスタ!A44="","",支払先マスタ!A44)</f>
        <v/>
      </c>
      <c r="B44" s="75">
        <f>'202606'!B44</f>
        <v/>
      </c>
      <c r="C44" s="75">
        <f>'202607'!B44</f>
        <v/>
      </c>
      <c r="D44" s="75">
        <f>'202608'!B44</f>
        <v/>
      </c>
      <c r="E44" s="75">
        <f>'202609'!B44</f>
        <v/>
      </c>
      <c r="F44" s="75">
        <f>'202610'!B44</f>
        <v/>
      </c>
      <c r="G44" s="75">
        <f>'202611'!B44</f>
        <v/>
      </c>
      <c r="H44" s="75">
        <f>'202612'!B44</f>
        <v/>
      </c>
      <c r="I44" s="75">
        <f>'202701'!B44</f>
        <v/>
      </c>
      <c r="J44" s="75">
        <f>'202702'!B44</f>
        <v/>
      </c>
      <c r="K44" s="75">
        <f>'202703'!B44</f>
        <v/>
      </c>
      <c r="L44" s="75">
        <f>'202704'!B44</f>
        <v/>
      </c>
      <c r="M44" s="75">
        <f>'202705'!B44</f>
        <v/>
      </c>
      <c r="N44" s="76">
        <f>SUM(B44:M44)</f>
        <v/>
      </c>
    </row>
    <row r="45">
      <c r="A45" s="74">
        <f>IF(支払先マスタ!A45="","",支払先マスタ!A45)</f>
        <v/>
      </c>
      <c r="B45" s="75">
        <f>'202606'!B45</f>
        <v/>
      </c>
      <c r="C45" s="75">
        <f>'202607'!B45</f>
        <v/>
      </c>
      <c r="D45" s="75">
        <f>'202608'!B45</f>
        <v/>
      </c>
      <c r="E45" s="75">
        <f>'202609'!B45</f>
        <v/>
      </c>
      <c r="F45" s="75">
        <f>'202610'!B45</f>
        <v/>
      </c>
      <c r="G45" s="75">
        <f>'202611'!B45</f>
        <v/>
      </c>
      <c r="H45" s="75">
        <f>'202612'!B45</f>
        <v/>
      </c>
      <c r="I45" s="75">
        <f>'202701'!B45</f>
        <v/>
      </c>
      <c r="J45" s="75">
        <f>'202702'!B45</f>
        <v/>
      </c>
      <c r="K45" s="75">
        <f>'202703'!B45</f>
        <v/>
      </c>
      <c r="L45" s="75">
        <f>'202704'!B45</f>
        <v/>
      </c>
      <c r="M45" s="75">
        <f>'202705'!B45</f>
        <v/>
      </c>
      <c r="N45" s="76">
        <f>SUM(B45:M45)</f>
        <v/>
      </c>
    </row>
    <row r="46">
      <c r="A46" s="74">
        <f>IF(支払先マスタ!A46="","",支払先マスタ!A46)</f>
        <v/>
      </c>
      <c r="B46" s="75">
        <f>'202606'!B46</f>
        <v/>
      </c>
      <c r="C46" s="75">
        <f>'202607'!B46</f>
        <v/>
      </c>
      <c r="D46" s="75">
        <f>'202608'!B46</f>
        <v/>
      </c>
      <c r="E46" s="75">
        <f>'202609'!B46</f>
        <v/>
      </c>
      <c r="F46" s="75">
        <f>'202610'!B46</f>
        <v/>
      </c>
      <c r="G46" s="75">
        <f>'202611'!B46</f>
        <v/>
      </c>
      <c r="H46" s="75">
        <f>'202612'!B46</f>
        <v/>
      </c>
      <c r="I46" s="75">
        <f>'202701'!B46</f>
        <v/>
      </c>
      <c r="J46" s="75">
        <f>'202702'!B46</f>
        <v/>
      </c>
      <c r="K46" s="75">
        <f>'202703'!B46</f>
        <v/>
      </c>
      <c r="L46" s="75">
        <f>'202704'!B46</f>
        <v/>
      </c>
      <c r="M46" s="75">
        <f>'202705'!B46</f>
        <v/>
      </c>
      <c r="N46" s="76">
        <f>SUM(B46:M46)</f>
        <v/>
      </c>
    </row>
    <row r="47">
      <c r="A47" s="74">
        <f>IF(支払先マスタ!A47="","",支払先マスタ!A47)</f>
        <v/>
      </c>
      <c r="B47" s="75">
        <f>'202606'!B47</f>
        <v/>
      </c>
      <c r="C47" s="75">
        <f>'202607'!B47</f>
        <v/>
      </c>
      <c r="D47" s="75">
        <f>'202608'!B47</f>
        <v/>
      </c>
      <c r="E47" s="75">
        <f>'202609'!B47</f>
        <v/>
      </c>
      <c r="F47" s="75">
        <f>'202610'!B47</f>
        <v/>
      </c>
      <c r="G47" s="75">
        <f>'202611'!B47</f>
        <v/>
      </c>
      <c r="H47" s="75">
        <f>'202612'!B47</f>
        <v/>
      </c>
      <c r="I47" s="75">
        <f>'202701'!B47</f>
        <v/>
      </c>
      <c r="J47" s="75">
        <f>'202702'!B47</f>
        <v/>
      </c>
      <c r="K47" s="75">
        <f>'202703'!B47</f>
        <v/>
      </c>
      <c r="L47" s="75">
        <f>'202704'!B47</f>
        <v/>
      </c>
      <c r="M47" s="75">
        <f>'202705'!B47</f>
        <v/>
      </c>
      <c r="N47" s="76">
        <f>SUM(B47:M47)</f>
        <v/>
      </c>
    </row>
    <row r="48">
      <c r="A48" s="74">
        <f>IF(支払先マスタ!A48="","",支払先マスタ!A48)</f>
        <v/>
      </c>
      <c r="B48" s="75">
        <f>'202606'!B48</f>
        <v/>
      </c>
      <c r="C48" s="75">
        <f>'202607'!B48</f>
        <v/>
      </c>
      <c r="D48" s="75">
        <f>'202608'!B48</f>
        <v/>
      </c>
      <c r="E48" s="75">
        <f>'202609'!B48</f>
        <v/>
      </c>
      <c r="F48" s="75">
        <f>'202610'!B48</f>
        <v/>
      </c>
      <c r="G48" s="75">
        <f>'202611'!B48</f>
        <v/>
      </c>
      <c r="H48" s="75">
        <f>'202612'!B48</f>
        <v/>
      </c>
      <c r="I48" s="75">
        <f>'202701'!B48</f>
        <v/>
      </c>
      <c r="J48" s="75">
        <f>'202702'!B48</f>
        <v/>
      </c>
      <c r="K48" s="75">
        <f>'202703'!B48</f>
        <v/>
      </c>
      <c r="L48" s="75">
        <f>'202704'!B48</f>
        <v/>
      </c>
      <c r="M48" s="75">
        <f>'202705'!B48</f>
        <v/>
      </c>
      <c r="N48" s="76">
        <f>SUM(B48:M48)</f>
        <v/>
      </c>
    </row>
    <row r="49">
      <c r="A49" s="74">
        <f>IF(支払先マスタ!A49="","",支払先マスタ!A49)</f>
        <v/>
      </c>
      <c r="B49" s="75">
        <f>'202606'!B49</f>
        <v/>
      </c>
      <c r="C49" s="75">
        <f>'202607'!B49</f>
        <v/>
      </c>
      <c r="D49" s="75">
        <f>'202608'!B49</f>
        <v/>
      </c>
      <c r="E49" s="75">
        <f>'202609'!B49</f>
        <v/>
      </c>
      <c r="F49" s="75">
        <f>'202610'!B49</f>
        <v/>
      </c>
      <c r="G49" s="75">
        <f>'202611'!B49</f>
        <v/>
      </c>
      <c r="H49" s="75">
        <f>'202612'!B49</f>
        <v/>
      </c>
      <c r="I49" s="75">
        <f>'202701'!B49</f>
        <v/>
      </c>
      <c r="J49" s="75">
        <f>'202702'!B49</f>
        <v/>
      </c>
      <c r="K49" s="75">
        <f>'202703'!B49</f>
        <v/>
      </c>
      <c r="L49" s="75">
        <f>'202704'!B49</f>
        <v/>
      </c>
      <c r="M49" s="75">
        <f>'202705'!B49</f>
        <v/>
      </c>
      <c r="N49" s="76">
        <f>SUM(B49:M49)</f>
        <v/>
      </c>
    </row>
    <row r="50">
      <c r="A50" s="74">
        <f>IF(支払先マスタ!A50="","",支払先マスタ!A50)</f>
        <v/>
      </c>
      <c r="B50" s="75">
        <f>'202606'!B50</f>
        <v/>
      </c>
      <c r="C50" s="75">
        <f>'202607'!B50</f>
        <v/>
      </c>
      <c r="D50" s="75">
        <f>'202608'!B50</f>
        <v/>
      </c>
      <c r="E50" s="75">
        <f>'202609'!B50</f>
        <v/>
      </c>
      <c r="F50" s="75">
        <f>'202610'!B50</f>
        <v/>
      </c>
      <c r="G50" s="75">
        <f>'202611'!B50</f>
        <v/>
      </c>
      <c r="H50" s="75">
        <f>'202612'!B50</f>
        <v/>
      </c>
      <c r="I50" s="75">
        <f>'202701'!B50</f>
        <v/>
      </c>
      <c r="J50" s="75">
        <f>'202702'!B50</f>
        <v/>
      </c>
      <c r="K50" s="75">
        <f>'202703'!B50</f>
        <v/>
      </c>
      <c r="L50" s="75">
        <f>'202704'!B50</f>
        <v/>
      </c>
      <c r="M50" s="75">
        <f>'202705'!B50</f>
        <v/>
      </c>
      <c r="N50" s="76">
        <f>SUM(B50:M50)</f>
        <v/>
      </c>
    </row>
    <row r="51">
      <c r="A51" s="74">
        <f>IF(支払先マスタ!A51="","",支払先マスタ!A51)</f>
        <v/>
      </c>
      <c r="B51" s="75">
        <f>'202606'!B51</f>
        <v/>
      </c>
      <c r="C51" s="75">
        <f>'202607'!B51</f>
        <v/>
      </c>
      <c r="D51" s="75">
        <f>'202608'!B51</f>
        <v/>
      </c>
      <c r="E51" s="75">
        <f>'202609'!B51</f>
        <v/>
      </c>
      <c r="F51" s="75">
        <f>'202610'!B51</f>
        <v/>
      </c>
      <c r="G51" s="75">
        <f>'202611'!B51</f>
        <v/>
      </c>
      <c r="H51" s="75">
        <f>'202612'!B51</f>
        <v/>
      </c>
      <c r="I51" s="75">
        <f>'202701'!B51</f>
        <v/>
      </c>
      <c r="J51" s="75">
        <f>'202702'!B51</f>
        <v/>
      </c>
      <c r="K51" s="75">
        <f>'202703'!B51</f>
        <v/>
      </c>
      <c r="L51" s="75">
        <f>'202704'!B51</f>
        <v/>
      </c>
      <c r="M51" s="75">
        <f>'202705'!B51</f>
        <v/>
      </c>
      <c r="N51" s="76">
        <f>SUM(B51:M51)</f>
        <v/>
      </c>
    </row>
    <row r="52">
      <c r="A52" s="74">
        <f>IF(支払先マスタ!A52="","",支払先マスタ!A52)</f>
        <v/>
      </c>
      <c r="B52" s="75">
        <f>'202606'!B52</f>
        <v/>
      </c>
      <c r="C52" s="75">
        <f>'202607'!B52</f>
        <v/>
      </c>
      <c r="D52" s="75">
        <f>'202608'!B52</f>
        <v/>
      </c>
      <c r="E52" s="75">
        <f>'202609'!B52</f>
        <v/>
      </c>
      <c r="F52" s="75">
        <f>'202610'!B52</f>
        <v/>
      </c>
      <c r="G52" s="75">
        <f>'202611'!B52</f>
        <v/>
      </c>
      <c r="H52" s="75">
        <f>'202612'!B52</f>
        <v/>
      </c>
      <c r="I52" s="75">
        <f>'202701'!B52</f>
        <v/>
      </c>
      <c r="J52" s="75">
        <f>'202702'!B52</f>
        <v/>
      </c>
      <c r="K52" s="75">
        <f>'202703'!B52</f>
        <v/>
      </c>
      <c r="L52" s="75">
        <f>'202704'!B52</f>
        <v/>
      </c>
      <c r="M52" s="75">
        <f>'202705'!B52</f>
        <v/>
      </c>
      <c r="N52" s="76">
        <f>SUM(B52:M52)</f>
        <v/>
      </c>
    </row>
    <row r="53">
      <c r="A53" s="74">
        <f>IF(支払先マスタ!A53="","",支払先マスタ!A53)</f>
        <v/>
      </c>
      <c r="B53" s="75">
        <f>'202606'!B53</f>
        <v/>
      </c>
      <c r="C53" s="75">
        <f>'202607'!B53</f>
        <v/>
      </c>
      <c r="D53" s="75">
        <f>'202608'!B53</f>
        <v/>
      </c>
      <c r="E53" s="75">
        <f>'202609'!B53</f>
        <v/>
      </c>
      <c r="F53" s="75">
        <f>'202610'!B53</f>
        <v/>
      </c>
      <c r="G53" s="75">
        <f>'202611'!B53</f>
        <v/>
      </c>
      <c r="H53" s="75">
        <f>'202612'!B53</f>
        <v/>
      </c>
      <c r="I53" s="75">
        <f>'202701'!B53</f>
        <v/>
      </c>
      <c r="J53" s="75">
        <f>'202702'!B53</f>
        <v/>
      </c>
      <c r="K53" s="75">
        <f>'202703'!B53</f>
        <v/>
      </c>
      <c r="L53" s="75">
        <f>'202704'!B53</f>
        <v/>
      </c>
      <c r="M53" s="75">
        <f>'202705'!B53</f>
        <v/>
      </c>
      <c r="N53" s="76">
        <f>SUM(B53:M53)</f>
        <v/>
      </c>
    </row>
    <row r="54">
      <c r="A54" s="74">
        <f>IF(支払先マスタ!A54="","",支払先マスタ!A54)</f>
        <v/>
      </c>
      <c r="B54" s="75">
        <f>'202606'!B54</f>
        <v/>
      </c>
      <c r="C54" s="75">
        <f>'202607'!B54</f>
        <v/>
      </c>
      <c r="D54" s="75">
        <f>'202608'!B54</f>
        <v/>
      </c>
      <c r="E54" s="75">
        <f>'202609'!B54</f>
        <v/>
      </c>
      <c r="F54" s="75">
        <f>'202610'!B54</f>
        <v/>
      </c>
      <c r="G54" s="75">
        <f>'202611'!B54</f>
        <v/>
      </c>
      <c r="H54" s="75">
        <f>'202612'!B54</f>
        <v/>
      </c>
      <c r="I54" s="75">
        <f>'202701'!B54</f>
        <v/>
      </c>
      <c r="J54" s="75">
        <f>'202702'!B54</f>
        <v/>
      </c>
      <c r="K54" s="75">
        <f>'202703'!B54</f>
        <v/>
      </c>
      <c r="L54" s="75">
        <f>'202704'!B54</f>
        <v/>
      </c>
      <c r="M54" s="75">
        <f>'202705'!B54</f>
        <v/>
      </c>
      <c r="N54" s="76">
        <f>SUM(B54:M54)</f>
        <v/>
      </c>
    </row>
    <row r="55">
      <c r="A55" s="74">
        <f>IF(支払先マスタ!A55="","",支払先マスタ!A55)</f>
        <v/>
      </c>
      <c r="B55" s="75">
        <f>'202606'!B55</f>
        <v/>
      </c>
      <c r="C55" s="75">
        <f>'202607'!B55</f>
        <v/>
      </c>
      <c r="D55" s="75">
        <f>'202608'!B55</f>
        <v/>
      </c>
      <c r="E55" s="75">
        <f>'202609'!B55</f>
        <v/>
      </c>
      <c r="F55" s="75">
        <f>'202610'!B55</f>
        <v/>
      </c>
      <c r="G55" s="75">
        <f>'202611'!B55</f>
        <v/>
      </c>
      <c r="H55" s="75">
        <f>'202612'!B55</f>
        <v/>
      </c>
      <c r="I55" s="75">
        <f>'202701'!B55</f>
        <v/>
      </c>
      <c r="J55" s="75">
        <f>'202702'!B55</f>
        <v/>
      </c>
      <c r="K55" s="75">
        <f>'202703'!B55</f>
        <v/>
      </c>
      <c r="L55" s="75">
        <f>'202704'!B55</f>
        <v/>
      </c>
      <c r="M55" s="75">
        <f>'202705'!B55</f>
        <v/>
      </c>
      <c r="N55" s="76">
        <f>SUM(B55:M55)</f>
        <v/>
      </c>
    </row>
    <row r="56">
      <c r="A56" s="77" t="inlineStr">
        <is>
          <t>合計</t>
        </is>
      </c>
      <c r="B56" s="78">
        <f>SUM(B3:B55)</f>
        <v/>
      </c>
      <c r="C56" s="78">
        <f>SUM(C3:C55)</f>
        <v/>
      </c>
      <c r="D56" s="78">
        <f>SUM(D3:D55)</f>
        <v/>
      </c>
      <c r="E56" s="78">
        <f>SUM(E3:E55)</f>
        <v/>
      </c>
      <c r="F56" s="78">
        <f>SUM(F3:F55)</f>
        <v/>
      </c>
      <c r="G56" s="78">
        <f>SUM(G3:G55)</f>
        <v/>
      </c>
      <c r="H56" s="78">
        <f>SUM(H3:H55)</f>
        <v/>
      </c>
      <c r="I56" s="78">
        <f>SUM(I3:I55)</f>
        <v/>
      </c>
      <c r="J56" s="78">
        <f>SUM(J3:J55)</f>
        <v/>
      </c>
      <c r="K56" s="78">
        <f>SUM(K3:K55)</f>
        <v/>
      </c>
      <c r="L56" s="78">
        <f>SUM(L3:L55)</f>
        <v/>
      </c>
      <c r="M56" s="78">
        <f>SUM(M3:M55)</f>
        <v/>
      </c>
      <c r="N56" s="78">
        <f>SUM(N3:N55)</f>
        <v/>
      </c>
    </row>
    <row r="58">
      <c r="A58" s="79" t="inlineStr">
        <is>
          <t>※ 各月シートの支払先ごとの合計を並べたものです。支払先の追加は「支払先マスタ」で。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26" customWidth="1" min="26" max="26"/>
  </cols>
  <sheetData>
    <row r="1">
      <c r="A1" s="72" t="inlineStr">
        <is>
          <t>202606（2026年6月）  支払先別 × 勘定科目</t>
        </is>
      </c>
      <c r="E1" s="79" t="inlineStr">
        <is>
          <t>※ 支払先の追加は「支払先マスタ」／科目の追加は「科目別集計」シートで行うと全月に反映されます</t>
        </is>
      </c>
    </row>
    <row r="2" ht="54" customHeight="1">
      <c r="A2" s="73" t="inlineStr">
        <is>
          <t>支払先</t>
        </is>
      </c>
      <c r="B2" s="73" t="inlineStr">
        <is>
          <t>合計</t>
        </is>
      </c>
      <c r="C2" s="80">
        <f>IF(科目別集計!$A3="","",科目別集計!$A3)</f>
        <v/>
      </c>
      <c r="D2" s="80">
        <f>IF(科目別集計!$A4="","",科目別集計!$A4)</f>
        <v/>
      </c>
      <c r="E2" s="80">
        <f>IF(科目別集計!$A5="","",科目別集計!$A5)</f>
        <v/>
      </c>
      <c r="F2" s="80">
        <f>IF(科目別集計!$A6="","",科目別集計!$A6)</f>
        <v/>
      </c>
      <c r="G2" s="80">
        <f>IF(科目別集計!$A7="","",科目別集計!$A7)</f>
        <v/>
      </c>
      <c r="H2" s="80">
        <f>IF(科目別集計!$A8="","",科目別集計!$A8)</f>
        <v/>
      </c>
      <c r="I2" s="80">
        <f>IF(科目別集計!$A9="","",科目別集計!$A9)</f>
        <v/>
      </c>
      <c r="J2" s="80">
        <f>IF(科目別集計!$A10="","",科目別集計!$A10)</f>
        <v/>
      </c>
      <c r="K2" s="80">
        <f>IF(科目別集計!$A11="","",科目別集計!$A11)</f>
        <v/>
      </c>
      <c r="L2" s="80">
        <f>IF(科目別集計!$A12="","",科目別集計!$A12)</f>
        <v/>
      </c>
      <c r="M2" s="80">
        <f>IF(科目別集計!$A13="","",科目別集計!$A13)</f>
        <v/>
      </c>
      <c r="N2" s="80">
        <f>IF(科目別集計!$A14="","",科目別集計!$A14)</f>
        <v/>
      </c>
      <c r="O2" s="80">
        <f>IF(科目別集計!$A15="","",科目別集計!$A15)</f>
        <v/>
      </c>
      <c r="P2" s="80">
        <f>IF(科目別集計!$A16="","",科目別集計!$A16)</f>
        <v/>
      </c>
      <c r="Q2" s="80">
        <f>IF(科目別集計!$A17="","",科目別集計!$A17)</f>
        <v/>
      </c>
      <c r="R2" s="80">
        <f>IF(科目別集計!$A18="","",科目別集計!$A18)</f>
        <v/>
      </c>
      <c r="S2" s="80">
        <f>IF(科目別集計!$A19="","",科目別集計!$A19)</f>
        <v/>
      </c>
      <c r="T2" s="80">
        <f>IF(科目別集計!$A20="","",科目別集計!$A20)</f>
        <v/>
      </c>
      <c r="U2" s="80">
        <f>IF(科目別集計!$A21="","",科目別集計!$A21)</f>
        <v/>
      </c>
      <c r="V2" s="80">
        <f>IF(科目別集計!$A22="","",科目別集計!$A22)</f>
        <v/>
      </c>
      <c r="W2" s="80">
        <f>IF(科目別集計!$A23="","",科目別集計!$A23)</f>
        <v/>
      </c>
      <c r="X2" s="80">
        <f>IF(科目別集計!$A24="","",科目別集計!$A24)</f>
        <v/>
      </c>
      <c r="Y2" s="80">
        <f>IF(科目別集計!$A25="","",科目別集計!$A25)</f>
        <v/>
      </c>
      <c r="Z2" s="73" t="inlineStr">
        <is>
          <t>備考</t>
        </is>
      </c>
    </row>
    <row r="3">
      <c r="A3" s="81">
        <f>IF(支払先マスタ!A3="","",支払先マスタ!A3)</f>
        <v/>
      </c>
      <c r="B3" s="76">
        <f>IF(COUNT(C3:Y3)=0,"",SUM(C3:Y3))</f>
        <v/>
      </c>
      <c r="C3" s="75" t="n">
        <v>360195</v>
      </c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4" t="n"/>
    </row>
    <row r="4">
      <c r="A4" s="81">
        <f>IF(支払先マスタ!A4="","",支払先マスタ!A4)</f>
        <v/>
      </c>
      <c r="B4" s="76">
        <f>IF(COUNT(C4:Y4)=0,"",SUM(C4:Y4))</f>
        <v/>
      </c>
      <c r="C4" s="75" t="n">
        <v>382500</v>
      </c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4" t="n"/>
    </row>
    <row r="5">
      <c r="A5" s="81">
        <f>IF(支払先マスタ!A5="","",支払先マスタ!A5)</f>
        <v/>
      </c>
      <c r="B5" s="76">
        <f>IF(COUNT(C5:Y5)=0,"",SUM(C5:Y5))</f>
        <v/>
      </c>
      <c r="C5" s="75" t="n">
        <v>350000</v>
      </c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4" t="n"/>
    </row>
    <row r="6">
      <c r="A6" s="81">
        <f>IF(支払先マスタ!A6="","",支払先マスタ!A6)</f>
        <v/>
      </c>
      <c r="B6" s="76">
        <f>IF(COUNT(C6:Y6)=0,"",SUM(C6:Y6))</f>
        <v/>
      </c>
      <c r="C6" s="75" t="n">
        <v>390000</v>
      </c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4" t="n"/>
    </row>
    <row r="7">
      <c r="A7" s="81">
        <f>IF(支払先マスタ!A7="","",支払先マスタ!A7)</f>
        <v/>
      </c>
      <c r="B7" s="76">
        <f>IF(COUNT(C7:Y7)=0,"",SUM(C7:Y7))</f>
        <v/>
      </c>
      <c r="C7" s="75" t="n">
        <v>60000</v>
      </c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4" t="n"/>
    </row>
    <row r="8">
      <c r="A8" s="81">
        <f>IF(支払先マスタ!A8="","",支払先マスタ!A8)</f>
        <v/>
      </c>
      <c r="B8" s="76">
        <f>IF(COUNT(C8:Y8)=0,"",SUM(C8:Y8))</f>
        <v/>
      </c>
      <c r="C8" s="75" t="n">
        <v>170000</v>
      </c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4" t="n"/>
    </row>
    <row r="9">
      <c r="A9" s="81">
        <f>IF(支払先マスタ!A9="","",支払先マスタ!A9)</f>
        <v/>
      </c>
      <c r="B9" s="76">
        <f>IF(COUNT(C9:Y9)=0,"",SUM(C9:Y9))</f>
        <v/>
      </c>
      <c r="C9" s="75" t="n">
        <v>165000</v>
      </c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4" t="n"/>
    </row>
    <row r="10">
      <c r="A10" s="81">
        <f>IF(支払先マスタ!A10="","",支払先マスタ!A10)</f>
        <v/>
      </c>
      <c r="B10" s="76">
        <f>IF(COUNT(C10:Y10)=0,"",SUM(C10:Y10))</f>
        <v/>
      </c>
      <c r="C10" s="75" t="n">
        <v>55000</v>
      </c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4" t="n"/>
    </row>
    <row r="11">
      <c r="A11" s="81">
        <f>IF(支払先マスタ!A11="","",支払先マスタ!A11)</f>
        <v/>
      </c>
      <c r="B11" s="76">
        <f>IF(COUNT(C11:Y11)=0,"",SUM(C11:Y11))</f>
        <v/>
      </c>
      <c r="C11" s="75" t="n">
        <v>35200</v>
      </c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4" t="n"/>
    </row>
    <row r="12">
      <c r="A12" s="81">
        <f>IF(支払先マスタ!A12="","",支払先マスタ!A12)</f>
        <v/>
      </c>
      <c r="B12" s="76">
        <f>IF(COUNT(C12:Y12)=0,"",SUM(C12:Y12))</f>
        <v/>
      </c>
      <c r="C12" s="75" t="n">
        <v>29700</v>
      </c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4" t="n"/>
    </row>
    <row r="13">
      <c r="A13" s="81">
        <f>IF(支払先マスタ!A13="","",支払先マスタ!A13)</f>
        <v/>
      </c>
      <c r="B13" s="76">
        <f>IF(COUNT(C13:Y13)=0,"",SUM(C13:Y13))</f>
        <v/>
      </c>
      <c r="C13" s="75" t="n">
        <v>90000</v>
      </c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4" t="n"/>
    </row>
    <row r="14">
      <c r="A14" s="81">
        <f>IF(支払先マスタ!A14="","",支払先マスタ!A14)</f>
        <v/>
      </c>
      <c r="B14" s="76">
        <f>IF(COUNT(C14:Y14)=0,"",SUM(C14:Y14))</f>
        <v/>
      </c>
      <c r="C14" s="75" t="n">
        <v>67300</v>
      </c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4" t="n"/>
    </row>
    <row r="15">
      <c r="A15" s="74">
        <f>IF(支払先マスタ!A15="","",支払先マスタ!A15)</f>
        <v/>
      </c>
      <c r="B15" s="76">
        <f>IF(COUNT(C15:Y15)=0,"",SUM(C15:Y15))</f>
        <v/>
      </c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4" t="n"/>
    </row>
    <row r="16">
      <c r="A16" s="74">
        <f>IF(支払先マスタ!A16="","",支払先マスタ!A16)</f>
        <v/>
      </c>
      <c r="B16" s="76">
        <f>IF(COUNT(C16:Y16)=0,"",SUM(C16:Y16))</f>
        <v/>
      </c>
      <c r="C16" s="75" t="n"/>
      <c r="D16" s="75" t="n">
        <v>815100</v>
      </c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4" t="n"/>
    </row>
    <row r="17">
      <c r="A17" s="74">
        <f>IF(支払先マスタ!A17="","",支払先マスタ!A17)</f>
        <v/>
      </c>
      <c r="B17" s="76">
        <f>IF(COUNT(C17:Y17)=0,"",SUM(C17:Y17))</f>
        <v/>
      </c>
      <c r="C17" s="75" t="n"/>
      <c r="D17" s="75" t="n">
        <v>5500</v>
      </c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4" t="n"/>
    </row>
    <row r="18">
      <c r="A18" s="74">
        <f>IF(支払先マスタ!A18="","",支払先マスタ!A18)</f>
        <v/>
      </c>
      <c r="B18" s="76">
        <f>IF(COUNT(C18:Y18)=0,"",SUM(C18:Y18))</f>
        <v/>
      </c>
      <c r="C18" s="75" t="n"/>
      <c r="D18" s="75" t="n">
        <v>685652</v>
      </c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4" t="n"/>
    </row>
    <row r="19">
      <c r="A19" s="74">
        <f>IF(支払先マスタ!A19="","",支払先マスタ!A19)</f>
        <v/>
      </c>
      <c r="B19" s="76">
        <f>IF(COUNT(C19:Y19)=0,"",SUM(C19:Y19))</f>
        <v/>
      </c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4" t="n"/>
    </row>
    <row r="20">
      <c r="A20" s="81">
        <f>IF(支払先マスタ!A20="","",支払先マスタ!A20)</f>
        <v/>
      </c>
      <c r="B20" s="76">
        <f>IF(COUNT(C20:Y20)=0,"",SUM(C20:Y20))</f>
        <v/>
      </c>
      <c r="C20" s="75" t="n"/>
      <c r="D20" s="75" t="n"/>
      <c r="E20" s="75" t="n">
        <v>190410</v>
      </c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4" t="n"/>
    </row>
    <row r="21">
      <c r="A21" s="81">
        <f>IF(支払先マスタ!A21="","",支払先マスタ!A21)</f>
        <v/>
      </c>
      <c r="B21" s="76">
        <f>IF(COUNT(C21:Y21)=0,"",SUM(C21:Y21))</f>
        <v/>
      </c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4" t="n"/>
    </row>
    <row r="22">
      <c r="A22" s="81">
        <f>IF(支払先マスタ!A22="","",支払先マスタ!A22)</f>
        <v/>
      </c>
      <c r="B22" s="76">
        <f>IF(COUNT(C22:Y22)=0,"",SUM(C22:Y22))</f>
        <v/>
      </c>
      <c r="C22" s="75" t="n"/>
      <c r="D22" s="75" t="n"/>
      <c r="E22" s="75" t="n">
        <v>79200</v>
      </c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4" t="n"/>
    </row>
    <row r="23">
      <c r="A23" s="81">
        <f>IF(支払先マスタ!A23="","",支払先マスタ!A23)</f>
        <v/>
      </c>
      <c r="B23" s="76">
        <f>IF(COUNT(C23:Y23)=0,"",SUM(C23:Y23))</f>
        <v/>
      </c>
      <c r="C23" s="75" t="n"/>
      <c r="D23" s="75" t="n"/>
      <c r="E23" s="75" t="n">
        <v>194224</v>
      </c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4" t="n"/>
    </row>
    <row r="24">
      <c r="A24" s="74">
        <f>IF(支払先マスタ!A24="","",支払先マスタ!A24)</f>
        <v/>
      </c>
      <c r="B24" s="76">
        <f>IF(COUNT(C24:Y24)=0,"",SUM(C24:Y24))</f>
        <v/>
      </c>
      <c r="C24" s="75" t="n"/>
      <c r="D24" s="75" t="n"/>
      <c r="E24" s="75" t="n"/>
      <c r="F24" s="75" t="n">
        <v>60000</v>
      </c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4" t="n"/>
    </row>
    <row r="25">
      <c r="A25" s="74">
        <f>IF(支払先マスタ!A25="","",支払先マスタ!A25)</f>
        <v/>
      </c>
      <c r="B25" s="76">
        <f>IF(COUNT(C25:Y25)=0,"",SUM(C25:Y25))</f>
        <v/>
      </c>
      <c r="C25" s="75" t="n"/>
      <c r="D25" s="75" t="n"/>
      <c r="E25" s="75" t="n"/>
      <c r="F25" s="75" t="n">
        <v>89100</v>
      </c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4" t="n"/>
    </row>
    <row r="26">
      <c r="A26" s="74">
        <f>IF(支払先マスタ!A26="","",支払先マスタ!A26)</f>
        <v/>
      </c>
      <c r="B26" s="76">
        <f>IF(COUNT(C26:Y26)=0,"",SUM(C26:Y26))</f>
        <v/>
      </c>
      <c r="C26" s="75" t="n"/>
      <c r="D26" s="75" t="n"/>
      <c r="E26" s="75" t="n"/>
      <c r="F26" s="75" t="n">
        <v>31020</v>
      </c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4" t="n"/>
    </row>
    <row r="27">
      <c r="A27" s="74">
        <f>IF(支払先マスタ!A27="","",支払先マスタ!A27)</f>
        <v/>
      </c>
      <c r="B27" s="76">
        <f>IF(COUNT(C27:Y27)=0,"",SUM(C27:Y27))</f>
        <v/>
      </c>
      <c r="C27" s="75" t="n"/>
      <c r="D27" s="75" t="n"/>
      <c r="E27" s="75" t="n"/>
      <c r="F27" s="75" t="n">
        <v>21440</v>
      </c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4" t="n"/>
    </row>
    <row r="28">
      <c r="A28" s="74">
        <f>IF(支払先マスタ!A28="","",支払先マスタ!A28)</f>
        <v/>
      </c>
      <c r="B28" s="76">
        <f>IF(COUNT(C28:Y28)=0,"",SUM(C28:Y28))</f>
        <v/>
      </c>
      <c r="C28" s="75" t="n"/>
      <c r="D28" s="75" t="n"/>
      <c r="E28" s="75" t="n"/>
      <c r="F28" s="75" t="n">
        <v>33000</v>
      </c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4" t="n"/>
    </row>
    <row r="29">
      <c r="A29" s="81">
        <f>IF(支払先マスタ!A29="","",支払先マスタ!A29)</f>
        <v/>
      </c>
      <c r="B29" s="76">
        <f>IF(COUNT(C29:Y29)=0,"",SUM(C29:Y29))</f>
        <v/>
      </c>
      <c r="C29" s="75" t="n"/>
      <c r="D29" s="75" t="n"/>
      <c r="E29" s="75" t="n"/>
      <c r="F29" s="75" t="n"/>
      <c r="G29" s="75" t="n">
        <v>72308</v>
      </c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4" t="n"/>
    </row>
    <row r="30">
      <c r="A30" s="81">
        <f>IF(支払先マスタ!A30="","",支払先マスタ!A30)</f>
        <v/>
      </c>
      <c r="B30" s="76">
        <f>IF(COUNT(C30:Y30)=0,"",SUM(C30:Y30))</f>
        <v/>
      </c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4" t="n"/>
    </row>
    <row r="31">
      <c r="A31" s="81">
        <f>IF(支払先マスタ!A31="","",支払先マスタ!A31)</f>
        <v/>
      </c>
      <c r="B31" s="76">
        <f>IF(COUNT(C31:Y31)=0,"",SUM(C31:Y31))</f>
        <v/>
      </c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4" t="n"/>
    </row>
    <row r="32">
      <c r="A32" s="74">
        <f>IF(支払先マスタ!A32="","",支払先マスタ!A32)</f>
        <v/>
      </c>
      <c r="B32" s="76">
        <f>IF(COUNT(C32:Y32)=0,"",SUM(C32:Y32))</f>
        <v/>
      </c>
      <c r="C32" s="75" t="n"/>
      <c r="D32" s="75" t="n"/>
      <c r="E32" s="75" t="n"/>
      <c r="F32" s="75" t="n"/>
      <c r="G32" s="75" t="n"/>
      <c r="H32" s="75" t="n"/>
      <c r="I32" s="75" t="n">
        <v>17236</v>
      </c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4" t="n"/>
    </row>
    <row r="33">
      <c r="A33" s="81">
        <f>IF(支払先マスタ!A33="","",支払先マスタ!A33)</f>
        <v/>
      </c>
      <c r="B33" s="76">
        <f>IF(COUNT(C33:Y33)=0,"",SUM(C33:Y33))</f>
        <v/>
      </c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4" t="n"/>
    </row>
    <row r="34">
      <c r="A34" s="74">
        <f>IF(支払先マスタ!A34="","",支払先マスタ!A34)</f>
        <v/>
      </c>
      <c r="B34" s="76">
        <f>IF(COUNT(C34:Y34)=0,"",SUM(C34:Y34))</f>
        <v/>
      </c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4" t="n"/>
    </row>
    <row r="35">
      <c r="A35" s="81">
        <f>IF(支払先マスタ!A35="","",支払先マスタ!A35)</f>
        <v/>
      </c>
      <c r="B35" s="76">
        <f>IF(COUNT(C35:Y35)=0,"",SUM(C35:Y35))</f>
        <v/>
      </c>
      <c r="C35" s="75" t="n"/>
      <c r="D35" s="75" t="n"/>
      <c r="E35" s="75" t="n">
        <v>93408</v>
      </c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4" t="n"/>
    </row>
    <row r="36">
      <c r="A36" s="81">
        <f>IF(支払先マスタ!A36="","",支払先マスタ!A36)</f>
        <v/>
      </c>
      <c r="B36" s="76">
        <f>IF(COUNT(C36:Y36)=0,"",SUM(C36:Y36))</f>
        <v/>
      </c>
      <c r="C36" s="75" t="n"/>
      <c r="D36" s="75" t="n"/>
      <c r="E36" s="75" t="n"/>
      <c r="F36" s="75" t="n"/>
      <c r="G36" s="75" t="n"/>
      <c r="H36" s="75" t="n">
        <v>849200</v>
      </c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4" t="n"/>
    </row>
    <row r="37">
      <c r="A37" s="81">
        <f>IF(支払先マスタ!A37="","",支払先マスタ!A37)</f>
        <v/>
      </c>
      <c r="B37" s="76">
        <f>IF(COUNT(C37:Y37)=0,"",SUM(C37:Y37))</f>
        <v/>
      </c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4" t="n"/>
    </row>
    <row r="38">
      <c r="A38" s="81">
        <f>IF(支払先マスタ!A38="","",支払先マスタ!A38)</f>
        <v/>
      </c>
      <c r="B38" s="76">
        <f>IF(COUNT(C38:Y38)=0,"",SUM(C38:Y38))</f>
        <v/>
      </c>
      <c r="C38" s="75" t="n"/>
      <c r="D38" s="75" t="n">
        <v>11300</v>
      </c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4" t="n"/>
    </row>
    <row r="39">
      <c r="A39" s="81">
        <f>IF(支払先マスタ!A39="","",支払先マスタ!A39)</f>
        <v/>
      </c>
      <c r="B39" s="76">
        <f>IF(COUNT(C39:Y39)=0,"",SUM(C39:Y39))</f>
        <v/>
      </c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4" t="n"/>
    </row>
    <row r="40">
      <c r="A40" s="81">
        <f>IF(支払先マスタ!A40="","",支払先マスタ!A40)</f>
        <v/>
      </c>
      <c r="B40" s="76">
        <f>IF(COUNT(C40:Y40)=0,"",SUM(C40:Y40))</f>
        <v/>
      </c>
      <c r="C40" s="75" t="n"/>
      <c r="D40" s="75" t="n">
        <v>34000</v>
      </c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4" t="n"/>
    </row>
    <row r="41">
      <c r="A41" s="74">
        <f>IF(支払先マスタ!A41="","",支払先マスタ!A41)</f>
        <v/>
      </c>
      <c r="B41" s="76">
        <f>IF(COUNT(C41:Y41)=0,"",SUM(C41:Y41))</f>
        <v/>
      </c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4" t="n"/>
    </row>
    <row r="42">
      <c r="A42" s="74">
        <f>IF(支払先マスタ!A42="","",支払先マスタ!A42)</f>
        <v/>
      </c>
      <c r="B42" s="76">
        <f>IF(COUNT(C42:Y42)=0,"",SUM(C42:Y42))</f>
        <v/>
      </c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4" t="n"/>
    </row>
    <row r="43">
      <c r="A43" s="74">
        <f>IF(支払先マスタ!A43="","",支払先マスタ!A43)</f>
        <v/>
      </c>
      <c r="B43" s="76">
        <f>IF(COUNT(C43:Y43)=0,"",SUM(C43:Y43))</f>
        <v/>
      </c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4" t="n"/>
    </row>
    <row r="44">
      <c r="A44" s="74">
        <f>IF(支払先マスタ!A44="","",支払先マスタ!A44)</f>
        <v/>
      </c>
      <c r="B44" s="76">
        <f>IF(COUNT(C44:Y44)=0,"",SUM(C44:Y44))</f>
        <v/>
      </c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4" t="n"/>
    </row>
    <row r="45">
      <c r="A45" s="74">
        <f>IF(支払先マスタ!A45="","",支払先マスタ!A45)</f>
        <v/>
      </c>
      <c r="B45" s="76">
        <f>IF(COUNT(C45:Y45)=0,"",SUM(C45:Y45))</f>
        <v/>
      </c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4" t="n"/>
    </row>
    <row r="46">
      <c r="A46" s="74">
        <f>IF(支払先マスタ!A46="","",支払先マスタ!A46)</f>
        <v/>
      </c>
      <c r="B46" s="76">
        <f>IF(COUNT(C46:Y46)=0,"",SUM(C46:Y46))</f>
        <v/>
      </c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4" t="n"/>
    </row>
    <row r="47">
      <c r="A47" s="74">
        <f>IF(支払先マスタ!A47="","",支払先マスタ!A47)</f>
        <v/>
      </c>
      <c r="B47" s="76">
        <f>IF(COUNT(C47:Y47)=0,"",SUM(C47:Y47))</f>
        <v/>
      </c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4" t="n"/>
    </row>
    <row r="48">
      <c r="A48" s="74">
        <f>IF(支払先マスタ!A48="","",支払先マスタ!A48)</f>
        <v/>
      </c>
      <c r="B48" s="76">
        <f>IF(COUNT(C48:Y48)=0,"",SUM(C48:Y48))</f>
        <v/>
      </c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4" t="n"/>
    </row>
    <row r="49">
      <c r="A49" s="74">
        <f>IF(支払先マスタ!A49="","",支払先マスタ!A49)</f>
        <v/>
      </c>
      <c r="B49" s="76">
        <f>IF(COUNT(C49:Y49)=0,"",SUM(C49:Y49))</f>
        <v/>
      </c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4" t="n"/>
    </row>
    <row r="50">
      <c r="A50" s="74">
        <f>IF(支払先マスタ!A50="","",支払先マスタ!A50)</f>
        <v/>
      </c>
      <c r="B50" s="76">
        <f>IF(COUNT(C50:Y50)=0,"",SUM(C50:Y50))</f>
        <v/>
      </c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4" t="n"/>
    </row>
    <row r="51">
      <c r="A51" s="74">
        <f>IF(支払先マスタ!A51="","",支払先マスタ!A51)</f>
        <v/>
      </c>
      <c r="B51" s="76">
        <f>IF(COUNT(C51:Y51)=0,"",SUM(C51:Y51))</f>
        <v/>
      </c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4" t="n"/>
    </row>
    <row r="52">
      <c r="A52" s="74">
        <f>IF(支払先マスタ!A52="","",支払先マスタ!A52)</f>
        <v/>
      </c>
      <c r="B52" s="76">
        <f>IF(COUNT(C52:Y52)=0,"",SUM(C52:Y52))</f>
        <v/>
      </c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4" t="n"/>
    </row>
    <row r="53">
      <c r="A53" s="74">
        <f>IF(支払先マスタ!A53="","",支払先マスタ!A53)</f>
        <v/>
      </c>
      <c r="B53" s="76">
        <f>IF(COUNT(C53:Y53)=0,"",SUM(C53:Y53))</f>
        <v/>
      </c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4" t="n"/>
    </row>
    <row r="54">
      <c r="A54" s="74">
        <f>IF(支払先マスタ!A54="","",支払先マスタ!A54)</f>
        <v/>
      </c>
      <c r="B54" s="76">
        <f>IF(COUNT(C54:Y54)=0,"",SUM(C54:Y54))</f>
        <v/>
      </c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4" t="n"/>
    </row>
    <row r="55">
      <c r="A55" s="74">
        <f>IF(支払先マスタ!A55="","",支払先マスタ!A55)</f>
        <v/>
      </c>
      <c r="B55" s="76">
        <f>IF(COUNT(C55:Y55)=0,"",SUM(C55:Y55))</f>
        <v/>
      </c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4" t="n"/>
    </row>
    <row r="56">
      <c r="A56" s="77" t="inlineStr">
        <is>
          <t>合計</t>
        </is>
      </c>
      <c r="B56" s="78">
        <f>IF(COUNT(B3:B55)=0,"",SUM(B3:B55))</f>
        <v/>
      </c>
      <c r="C56" s="78">
        <f>IF(COUNT(C3:C55)=0,"",SUM(C3:C55))</f>
        <v/>
      </c>
      <c r="D56" s="78">
        <f>IF(COUNT(D3:D55)=0,"",SUM(D3:D55))</f>
        <v/>
      </c>
      <c r="E56" s="78">
        <f>IF(COUNT(E3:E55)=0,"",SUM(E3:E55))</f>
        <v/>
      </c>
      <c r="F56" s="78">
        <f>IF(COUNT(F3:F55)=0,"",SUM(F3:F55))</f>
        <v/>
      </c>
      <c r="G56" s="78">
        <f>IF(COUNT(G3:G55)=0,"",SUM(G3:G55))</f>
        <v/>
      </c>
      <c r="H56" s="78">
        <f>IF(COUNT(H3:H55)=0,"",SUM(H3:H55))</f>
        <v/>
      </c>
      <c r="I56" s="78">
        <f>IF(COUNT(I3:I55)=0,"",SUM(I3:I55))</f>
        <v/>
      </c>
      <c r="J56" s="78">
        <f>IF(COUNT(J3:J55)=0,"",SUM(J3:J55))</f>
        <v/>
      </c>
      <c r="K56" s="78">
        <f>IF(COUNT(K3:K55)=0,"",SUM(K3:K55))</f>
        <v/>
      </c>
      <c r="L56" s="78">
        <f>IF(COUNT(L3:L55)=0,"",SUM(L3:L55))</f>
        <v/>
      </c>
      <c r="M56" s="78">
        <f>IF(COUNT(M3:M55)=0,"",SUM(M3:M55))</f>
        <v/>
      </c>
      <c r="N56" s="78">
        <f>IF(COUNT(N3:N55)=0,"",SUM(N3:N55))</f>
        <v/>
      </c>
      <c r="O56" s="78">
        <f>IF(COUNT(O3:O55)=0,"",SUM(O3:O55))</f>
        <v/>
      </c>
      <c r="P56" s="78">
        <f>IF(COUNT(P3:P55)=0,"",SUM(P3:P55))</f>
        <v/>
      </c>
      <c r="Q56" s="78">
        <f>IF(COUNT(Q3:Q55)=0,"",SUM(Q3:Q55))</f>
        <v/>
      </c>
      <c r="R56" s="78">
        <f>IF(COUNT(R3:R55)=0,"",SUM(R3:R55))</f>
        <v/>
      </c>
      <c r="S56" s="78">
        <f>IF(COUNT(S3:S55)=0,"",SUM(S3:S55))</f>
        <v/>
      </c>
      <c r="T56" s="78">
        <f>IF(COUNT(T3:T55)=0,"",SUM(T3:T55))</f>
        <v/>
      </c>
      <c r="U56" s="78">
        <f>IF(COUNT(U3:U55)=0,"",SUM(U3:U55))</f>
        <v/>
      </c>
      <c r="V56" s="78">
        <f>IF(COUNT(V3:V55)=0,"",SUM(V3:V55))</f>
        <v/>
      </c>
      <c r="W56" s="78">
        <f>IF(COUNT(W3:W55)=0,"",SUM(W3:W55))</f>
        <v/>
      </c>
      <c r="X56" s="78">
        <f>IF(COUNT(X3:X55)=0,"",SUM(X3:X55))</f>
        <v/>
      </c>
      <c r="Y56" s="78">
        <f>IF(COUNT(Y3:Y55)=0,"",SUM(Y3:Y55))</f>
        <v/>
      </c>
      <c r="Z56" s="7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26" customWidth="1" min="26" max="26"/>
  </cols>
  <sheetData>
    <row r="1">
      <c r="A1" s="72" t="inlineStr">
        <is>
          <t>202607（2026年7月）  支払先別 × 勘定科目</t>
        </is>
      </c>
      <c r="E1" s="79" t="inlineStr">
        <is>
          <t>※ 支払先の追加は「支払先マスタ」／科目の追加は「科目別集計」シートで行うと全月に反映されます</t>
        </is>
      </c>
    </row>
    <row r="2" ht="54" customHeight="1">
      <c r="A2" s="73" t="inlineStr">
        <is>
          <t>支払先</t>
        </is>
      </c>
      <c r="B2" s="73" t="inlineStr">
        <is>
          <t>合計</t>
        </is>
      </c>
      <c r="C2" s="80">
        <f>IF(科目別集計!$A3="","",科目別集計!$A3)</f>
        <v/>
      </c>
      <c r="D2" s="80">
        <f>IF(科目別集計!$A4="","",科目別集計!$A4)</f>
        <v/>
      </c>
      <c r="E2" s="80">
        <f>IF(科目別集計!$A5="","",科目別集計!$A5)</f>
        <v/>
      </c>
      <c r="F2" s="80">
        <f>IF(科目別集計!$A6="","",科目別集計!$A6)</f>
        <v/>
      </c>
      <c r="G2" s="80">
        <f>IF(科目別集計!$A7="","",科目別集計!$A7)</f>
        <v/>
      </c>
      <c r="H2" s="80">
        <f>IF(科目別集計!$A8="","",科目別集計!$A8)</f>
        <v/>
      </c>
      <c r="I2" s="80">
        <f>IF(科目別集計!$A9="","",科目別集計!$A9)</f>
        <v/>
      </c>
      <c r="J2" s="80">
        <f>IF(科目別集計!$A10="","",科目別集計!$A10)</f>
        <v/>
      </c>
      <c r="K2" s="80">
        <f>IF(科目別集計!$A11="","",科目別集計!$A11)</f>
        <v/>
      </c>
      <c r="L2" s="80">
        <f>IF(科目別集計!$A12="","",科目別集計!$A12)</f>
        <v/>
      </c>
      <c r="M2" s="80">
        <f>IF(科目別集計!$A13="","",科目別集計!$A13)</f>
        <v/>
      </c>
      <c r="N2" s="80">
        <f>IF(科目別集計!$A14="","",科目別集計!$A14)</f>
        <v/>
      </c>
      <c r="O2" s="80">
        <f>IF(科目別集計!$A15="","",科目別集計!$A15)</f>
        <v/>
      </c>
      <c r="P2" s="80">
        <f>IF(科目別集計!$A16="","",科目別集計!$A16)</f>
        <v/>
      </c>
      <c r="Q2" s="80">
        <f>IF(科目別集計!$A17="","",科目別集計!$A17)</f>
        <v/>
      </c>
      <c r="R2" s="80">
        <f>IF(科目別集計!$A18="","",科目別集計!$A18)</f>
        <v/>
      </c>
      <c r="S2" s="80">
        <f>IF(科目別集計!$A19="","",科目別集計!$A19)</f>
        <v/>
      </c>
      <c r="T2" s="80">
        <f>IF(科目別集計!$A20="","",科目別集計!$A20)</f>
        <v/>
      </c>
      <c r="U2" s="80">
        <f>IF(科目別集計!$A21="","",科目別集計!$A21)</f>
        <v/>
      </c>
      <c r="V2" s="80">
        <f>IF(科目別集計!$A22="","",科目別集計!$A22)</f>
        <v/>
      </c>
      <c r="W2" s="80">
        <f>IF(科目別集計!$A23="","",科目別集計!$A23)</f>
        <v/>
      </c>
      <c r="X2" s="80">
        <f>IF(科目別集計!$A24="","",科目別集計!$A24)</f>
        <v/>
      </c>
      <c r="Y2" s="80">
        <f>IF(科目別集計!$A25="","",科目別集計!$A25)</f>
        <v/>
      </c>
      <c r="Z2" s="73" t="inlineStr">
        <is>
          <t>備考</t>
        </is>
      </c>
    </row>
    <row r="3">
      <c r="A3" s="81">
        <f>IF(支払先マスタ!A3="","",支払先マスタ!A3)</f>
        <v/>
      </c>
      <c r="B3" s="76">
        <f>IF(COUNT(C3:Y3)=0,"",SUM(C3:Y3))</f>
        <v/>
      </c>
      <c r="C3" s="75" t="n">
        <v>228360</v>
      </c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4" t="n"/>
    </row>
    <row r="4">
      <c r="A4" s="81">
        <f>IF(支払先マスタ!A4="","",支払先マスタ!A4)</f>
        <v/>
      </c>
      <c r="B4" s="76">
        <f>IF(COUNT(C4:Y4)=0,"",SUM(C4:Y4))</f>
        <v/>
      </c>
      <c r="C4" s="75" t="n">
        <v>382500</v>
      </c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4" t="n"/>
    </row>
    <row r="5">
      <c r="A5" s="81">
        <f>IF(支払先マスタ!A5="","",支払先マスタ!A5)</f>
        <v/>
      </c>
      <c r="B5" s="76">
        <f>IF(COUNT(C5:Y5)=0,"",SUM(C5:Y5))</f>
        <v/>
      </c>
      <c r="C5" s="75" t="n">
        <v>350000</v>
      </c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4" t="n"/>
    </row>
    <row r="6">
      <c r="A6" s="81">
        <f>IF(支払先マスタ!A6="","",支払先マスタ!A6)</f>
        <v/>
      </c>
      <c r="B6" s="76">
        <f>IF(COUNT(C6:Y6)=0,"",SUM(C6:Y6))</f>
        <v/>
      </c>
      <c r="C6" s="75" t="n">
        <v>390000</v>
      </c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4" t="n"/>
    </row>
    <row r="7">
      <c r="A7" s="81">
        <f>IF(支払先マスタ!A7="","",支払先マスタ!A7)</f>
        <v/>
      </c>
      <c r="B7" s="76">
        <f>IF(COUNT(C7:Y7)=0,"",SUM(C7:Y7))</f>
        <v/>
      </c>
      <c r="C7" s="75" t="n">
        <v>60000</v>
      </c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4" t="n"/>
    </row>
    <row r="8">
      <c r="A8" s="81">
        <f>IF(支払先マスタ!A8="","",支払先マスタ!A8)</f>
        <v/>
      </c>
      <c r="B8" s="76">
        <f>IF(COUNT(C8:Y8)=0,"",SUM(C8:Y8))</f>
        <v/>
      </c>
      <c r="C8" s="75" t="n">
        <v>170000</v>
      </c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4" t="n"/>
    </row>
    <row r="9">
      <c r="A9" s="81">
        <f>IF(支払先マスタ!A9="","",支払先マスタ!A9)</f>
        <v/>
      </c>
      <c r="B9" s="76">
        <f>IF(COUNT(C9:Y9)=0,"",SUM(C9:Y9))</f>
        <v/>
      </c>
      <c r="C9" s="75" t="n">
        <v>165000</v>
      </c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4" t="n"/>
    </row>
    <row r="10">
      <c r="A10" s="81">
        <f>IF(支払先マスタ!A10="","",支払先マスタ!A10)</f>
        <v/>
      </c>
      <c r="B10" s="76">
        <f>IF(COUNT(C10:Y10)=0,"",SUM(C10:Y10))</f>
        <v/>
      </c>
      <c r="C10" s="75" t="n">
        <v>55000</v>
      </c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4" t="n"/>
    </row>
    <row r="11">
      <c r="A11" s="81">
        <f>IF(支払先マスタ!A11="","",支払先マスタ!A11)</f>
        <v/>
      </c>
      <c r="B11" s="76">
        <f>IF(COUNT(C11:Y11)=0,"",SUM(C11:Y11))</f>
        <v/>
      </c>
      <c r="C11" s="75" t="n">
        <v>35200</v>
      </c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4" t="n"/>
    </row>
    <row r="12">
      <c r="A12" s="81">
        <f>IF(支払先マスタ!A12="","",支払先マスタ!A12)</f>
        <v/>
      </c>
      <c r="B12" s="76">
        <f>IF(COUNT(C12:Y12)=0,"",SUM(C12:Y12))</f>
        <v/>
      </c>
      <c r="C12" s="75" t="n">
        <v>29700</v>
      </c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4" t="n"/>
    </row>
    <row r="13">
      <c r="A13" s="81">
        <f>IF(支払先マスタ!A13="","",支払先マスタ!A13)</f>
        <v/>
      </c>
      <c r="B13" s="76">
        <f>IF(COUNT(C13:Y13)=0,"",SUM(C13:Y13))</f>
        <v/>
      </c>
      <c r="C13" s="75" t="n">
        <v>90000</v>
      </c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4" t="n"/>
    </row>
    <row r="14">
      <c r="A14" s="81">
        <f>IF(支払先マスタ!A14="","",支払先マスタ!A14)</f>
        <v/>
      </c>
      <c r="B14" s="76">
        <f>IF(COUNT(C14:Y14)=0,"",SUM(C14:Y14))</f>
        <v/>
      </c>
      <c r="C14" s="75" t="n">
        <v>67300</v>
      </c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4" t="n"/>
    </row>
    <row r="15">
      <c r="A15" s="74">
        <f>IF(支払先マスタ!A15="","",支払先マスタ!A15)</f>
        <v/>
      </c>
      <c r="B15" s="76">
        <f>IF(COUNT(C15:Y15)=0,"",SUM(C15:Y15))</f>
        <v/>
      </c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4" t="n"/>
    </row>
    <row r="16">
      <c r="A16" s="74">
        <f>IF(支払先マスタ!A16="","",支払先マスタ!A16)</f>
        <v/>
      </c>
      <c r="B16" s="76">
        <f>IF(COUNT(C16:Y16)=0,"",SUM(C16:Y16))</f>
        <v/>
      </c>
      <c r="C16" s="75" t="n"/>
      <c r="D16" s="75" t="n">
        <v>322350</v>
      </c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4" t="n"/>
    </row>
    <row r="17">
      <c r="A17" s="74">
        <f>IF(支払先マスタ!A17="","",支払先マスタ!A17)</f>
        <v/>
      </c>
      <c r="B17" s="76">
        <f>IF(COUNT(C17:Y17)=0,"",SUM(C17:Y17))</f>
        <v/>
      </c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4" t="n"/>
    </row>
    <row r="18">
      <c r="A18" s="74">
        <f>IF(支払先マスタ!A18="","",支払先マスタ!A18)</f>
        <v/>
      </c>
      <c r="B18" s="76">
        <f>IF(COUNT(C18:Y18)=0,"",SUM(C18:Y18))</f>
        <v/>
      </c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4" t="n"/>
    </row>
    <row r="19">
      <c r="A19" s="74">
        <f>IF(支払先マスタ!A19="","",支払先マスタ!A19)</f>
        <v/>
      </c>
      <c r="B19" s="76">
        <f>IF(COUNT(C19:Y19)=0,"",SUM(C19:Y19))</f>
        <v/>
      </c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4" t="n"/>
    </row>
    <row r="20">
      <c r="A20" s="81">
        <f>IF(支払先マスタ!A20="","",支払先マスタ!A20)</f>
        <v/>
      </c>
      <c r="B20" s="76">
        <f>IF(COUNT(C20:Y20)=0,"",SUM(C20:Y20))</f>
        <v/>
      </c>
      <c r="C20" s="75" t="n"/>
      <c r="D20" s="75" t="n"/>
      <c r="E20" s="75" t="n">
        <v>288893</v>
      </c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4" t="n"/>
    </row>
    <row r="21">
      <c r="A21" s="81">
        <f>IF(支払先マスタ!A21="","",支払先マスタ!A21)</f>
        <v/>
      </c>
      <c r="B21" s="76">
        <f>IF(COUNT(C21:Y21)=0,"",SUM(C21:Y21))</f>
        <v/>
      </c>
      <c r="C21" s="75" t="n"/>
      <c r="D21" s="75" t="n"/>
      <c r="E21" s="75" t="n">
        <v>550000</v>
      </c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4" t="n"/>
    </row>
    <row r="22">
      <c r="A22" s="81">
        <f>IF(支払先マスタ!A22="","",支払先マスタ!A22)</f>
        <v/>
      </c>
      <c r="B22" s="76">
        <f>IF(COUNT(C22:Y22)=0,"",SUM(C22:Y22))</f>
        <v/>
      </c>
      <c r="C22" s="75" t="n"/>
      <c r="D22" s="75" t="n"/>
      <c r="E22" s="75" t="n">
        <v>103400</v>
      </c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4" t="n"/>
    </row>
    <row r="23">
      <c r="A23" s="81">
        <f>IF(支払先マスタ!A23="","",支払先マスタ!A23)</f>
        <v/>
      </c>
      <c r="B23" s="76">
        <f>IF(COUNT(C23:Y23)=0,"",SUM(C23:Y23))</f>
        <v/>
      </c>
      <c r="C23" s="75" t="n"/>
      <c r="D23" s="75" t="n"/>
      <c r="E23" s="75" t="n">
        <v>123377</v>
      </c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4" t="n"/>
    </row>
    <row r="24">
      <c r="A24" s="74">
        <f>IF(支払先マスタ!A24="","",支払先マスタ!A24)</f>
        <v/>
      </c>
      <c r="B24" s="76">
        <f>IF(COUNT(C24:Y24)=0,"",SUM(C24:Y24))</f>
        <v/>
      </c>
      <c r="C24" s="75" t="n"/>
      <c r="D24" s="75" t="n"/>
      <c r="E24" s="75" t="n"/>
      <c r="F24" s="75" t="n">
        <v>60000</v>
      </c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4" t="n"/>
    </row>
    <row r="25">
      <c r="A25" s="74">
        <f>IF(支払先マスタ!A25="","",支払先マスタ!A25)</f>
        <v/>
      </c>
      <c r="B25" s="76">
        <f>IF(COUNT(C25:Y25)=0,"",SUM(C25:Y25))</f>
        <v/>
      </c>
      <c r="C25" s="75" t="n"/>
      <c r="D25" s="75" t="n"/>
      <c r="E25" s="75" t="n"/>
      <c r="F25" s="75" t="n">
        <v>89100</v>
      </c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4" t="n"/>
    </row>
    <row r="26">
      <c r="A26" s="74">
        <f>IF(支払先マスタ!A26="","",支払先マスタ!A26)</f>
        <v/>
      </c>
      <c r="B26" s="76">
        <f>IF(COUNT(C26:Y26)=0,"",SUM(C26:Y26))</f>
        <v/>
      </c>
      <c r="C26" s="75" t="n"/>
      <c r="D26" s="75" t="n"/>
      <c r="E26" s="75" t="n"/>
      <c r="F26" s="75" t="n">
        <v>31020</v>
      </c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4" t="n"/>
    </row>
    <row r="27">
      <c r="A27" s="74">
        <f>IF(支払先マスタ!A27="","",支払先マスタ!A27)</f>
        <v/>
      </c>
      <c r="B27" s="76">
        <f>IF(COUNT(C27:Y27)=0,"",SUM(C27:Y27))</f>
        <v/>
      </c>
      <c r="C27" s="75" t="n"/>
      <c r="D27" s="75" t="n"/>
      <c r="E27" s="75" t="n"/>
      <c r="F27" s="75" t="n">
        <v>23057</v>
      </c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4" t="n"/>
    </row>
    <row r="28">
      <c r="A28" s="74">
        <f>IF(支払先マスタ!A28="","",支払先マスタ!A28)</f>
        <v/>
      </c>
      <c r="B28" s="76">
        <f>IF(COUNT(C28:Y28)=0,"",SUM(C28:Y28))</f>
        <v/>
      </c>
      <c r="C28" s="75" t="n"/>
      <c r="D28" s="75" t="n"/>
      <c r="E28" s="75" t="n"/>
      <c r="F28" s="75" t="n">
        <v>231000</v>
      </c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4" t="n"/>
    </row>
    <row r="29">
      <c r="A29" s="81">
        <f>IF(支払先マスタ!A29="","",支払先マスタ!A29)</f>
        <v/>
      </c>
      <c r="B29" s="76">
        <f>IF(COUNT(C29:Y29)=0,"",SUM(C29:Y29))</f>
        <v/>
      </c>
      <c r="C29" s="75" t="n"/>
      <c r="D29" s="75" t="n"/>
      <c r="E29" s="75" t="n"/>
      <c r="F29" s="75" t="n"/>
      <c r="G29" s="75" t="n">
        <v>82367</v>
      </c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4" t="n"/>
    </row>
    <row r="30">
      <c r="A30" s="81">
        <f>IF(支払先マスタ!A30="","",支払先マスタ!A30)</f>
        <v/>
      </c>
      <c r="B30" s="76">
        <f>IF(COUNT(C30:Y30)=0,"",SUM(C30:Y30))</f>
        <v/>
      </c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4" t="n"/>
    </row>
    <row r="31">
      <c r="A31" s="81">
        <f>IF(支払先マスタ!A31="","",支払先マスタ!A31)</f>
        <v/>
      </c>
      <c r="B31" s="76">
        <f>IF(COUNT(C31:Y31)=0,"",SUM(C31:Y31))</f>
        <v/>
      </c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4" t="n"/>
    </row>
    <row r="32">
      <c r="A32" s="74">
        <f>IF(支払先マスタ!A32="","",支払先マスタ!A32)</f>
        <v/>
      </c>
      <c r="B32" s="76">
        <f>IF(COUNT(C32:Y32)=0,"",SUM(C32:Y32))</f>
        <v/>
      </c>
      <c r="C32" s="75" t="n"/>
      <c r="D32" s="75" t="n"/>
      <c r="E32" s="75" t="n"/>
      <c r="F32" s="75" t="n"/>
      <c r="G32" s="75" t="n"/>
      <c r="H32" s="75" t="n"/>
      <c r="I32" s="75" t="n">
        <v>18301</v>
      </c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4" t="n"/>
    </row>
    <row r="33">
      <c r="A33" s="81">
        <f>IF(支払先マスタ!A33="","",支払先マスタ!A33)</f>
        <v/>
      </c>
      <c r="B33" s="76">
        <f>IF(COUNT(C33:Y33)=0,"",SUM(C33:Y33))</f>
        <v/>
      </c>
      <c r="C33" s="75" t="n"/>
      <c r="D33" s="75" t="n"/>
      <c r="E33" s="75" t="n"/>
      <c r="F33" s="75" t="n"/>
      <c r="G33" s="75" t="n"/>
      <c r="H33" s="75" t="n"/>
      <c r="I33" s="75" t="n"/>
      <c r="J33" s="75" t="n">
        <v>1103802</v>
      </c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4" t="n"/>
    </row>
    <row r="34">
      <c r="A34" s="74">
        <f>IF(支払先マスタ!A34="","",支払先マスタ!A34)</f>
        <v/>
      </c>
      <c r="B34" s="76">
        <f>IF(COUNT(C34:Y34)=0,"",SUM(C34:Y34))</f>
        <v/>
      </c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>
        <v>72458</v>
      </c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4" t="n"/>
    </row>
    <row r="35">
      <c r="A35" s="81">
        <f>IF(支払先マスタ!A35="","",支払先マスタ!A35)</f>
        <v/>
      </c>
      <c r="B35" s="76">
        <f>IF(COUNT(C35:Y35)=0,"",SUM(C35:Y35))</f>
        <v/>
      </c>
      <c r="C35" s="75" t="n"/>
      <c r="D35" s="75" t="n"/>
      <c r="E35" s="75" t="n">
        <v>102568</v>
      </c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>
        <v>66448</v>
      </c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4" t="n"/>
    </row>
    <row r="36">
      <c r="A36" s="81">
        <f>IF(支払先マスタ!A36="","",支払先マスタ!A36)</f>
        <v/>
      </c>
      <c r="B36" s="76">
        <f>IF(COUNT(C36:Y36)=0,"",SUM(C36:Y36))</f>
        <v/>
      </c>
      <c r="C36" s="75" t="n"/>
      <c r="D36" s="75" t="n">
        <v>58410</v>
      </c>
      <c r="E36" s="75" t="n"/>
      <c r="F36" s="75" t="n"/>
      <c r="G36" s="75" t="n"/>
      <c r="H36" s="75" t="n">
        <v>849200</v>
      </c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4" t="n"/>
    </row>
    <row r="37">
      <c r="A37" s="81">
        <f>IF(支払先マスタ!A37="","",支払先マスタ!A37)</f>
        <v/>
      </c>
      <c r="B37" s="76">
        <f>IF(COUNT(C37:Y37)=0,"",SUM(C37:Y37))</f>
        <v/>
      </c>
      <c r="C37" s="75" t="n"/>
      <c r="D37" s="75" t="n">
        <v>170800</v>
      </c>
      <c r="E37" s="75" t="n">
        <v>124850</v>
      </c>
      <c r="F37" s="75" t="n"/>
      <c r="G37" s="75" t="n"/>
      <c r="H37" s="75" t="n"/>
      <c r="I37" s="75" t="n"/>
      <c r="J37" s="75" t="n"/>
      <c r="K37" s="75" t="n">
        <v>22400</v>
      </c>
      <c r="L37" s="75" t="n">
        <v>23550</v>
      </c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4" t="n"/>
    </row>
    <row r="38">
      <c r="A38" s="81">
        <f>IF(支払先マスタ!A38="","",支払先マスタ!A38)</f>
        <v/>
      </c>
      <c r="B38" s="76">
        <f>IF(COUNT(C38:Y38)=0,"",SUM(C38:Y38))</f>
        <v/>
      </c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4" t="n"/>
    </row>
    <row r="39">
      <c r="A39" s="81">
        <f>IF(支払先マスタ!A39="","",支払先マスタ!A39)</f>
        <v/>
      </c>
      <c r="B39" s="76">
        <f>IF(COUNT(C39:Y39)=0,"",SUM(C39:Y39))</f>
        <v/>
      </c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4" t="n"/>
    </row>
    <row r="40">
      <c r="A40" s="81">
        <f>IF(支払先マスタ!A40="","",支払先マスタ!A40)</f>
        <v/>
      </c>
      <c r="B40" s="76">
        <f>IF(COUNT(C40:Y40)=0,"",SUM(C40:Y40))</f>
        <v/>
      </c>
      <c r="C40" s="75" t="n"/>
      <c r="D40" s="75" t="n"/>
      <c r="E40" s="75" t="n">
        <v>8250</v>
      </c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4" t="n"/>
    </row>
    <row r="41">
      <c r="A41" s="74">
        <f>IF(支払先マスタ!A41="","",支払先マスタ!A41)</f>
        <v/>
      </c>
      <c r="B41" s="76">
        <f>IF(COUNT(C41:Y41)=0,"",SUM(C41:Y41))</f>
        <v/>
      </c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4" t="n"/>
    </row>
    <row r="42">
      <c r="A42" s="74">
        <f>IF(支払先マスタ!A42="","",支払先マスタ!A42)</f>
        <v/>
      </c>
      <c r="B42" s="76">
        <f>IF(COUNT(C42:Y42)=0,"",SUM(C42:Y42))</f>
        <v/>
      </c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4" t="n"/>
    </row>
    <row r="43">
      <c r="A43" s="74">
        <f>IF(支払先マスタ!A43="","",支払先マスタ!A43)</f>
        <v/>
      </c>
      <c r="B43" s="76">
        <f>IF(COUNT(C43:Y43)=0,"",SUM(C43:Y43))</f>
        <v/>
      </c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4" t="n"/>
    </row>
    <row r="44">
      <c r="A44" s="74">
        <f>IF(支払先マスタ!A44="","",支払先マスタ!A44)</f>
        <v/>
      </c>
      <c r="B44" s="76">
        <f>IF(COUNT(C44:Y44)=0,"",SUM(C44:Y44))</f>
        <v/>
      </c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4" t="n"/>
    </row>
    <row r="45">
      <c r="A45" s="74">
        <f>IF(支払先マスタ!A45="","",支払先マスタ!A45)</f>
        <v/>
      </c>
      <c r="B45" s="76">
        <f>IF(COUNT(C45:Y45)=0,"",SUM(C45:Y45))</f>
        <v/>
      </c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4" t="n"/>
    </row>
    <row r="46">
      <c r="A46" s="74">
        <f>IF(支払先マスタ!A46="","",支払先マスタ!A46)</f>
        <v/>
      </c>
      <c r="B46" s="76">
        <f>IF(COUNT(C46:Y46)=0,"",SUM(C46:Y46))</f>
        <v/>
      </c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4" t="n"/>
    </row>
    <row r="47">
      <c r="A47" s="74">
        <f>IF(支払先マスタ!A47="","",支払先マスタ!A47)</f>
        <v/>
      </c>
      <c r="B47" s="76">
        <f>IF(COUNT(C47:Y47)=0,"",SUM(C47:Y47))</f>
        <v/>
      </c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4" t="n"/>
    </row>
    <row r="48">
      <c r="A48" s="74">
        <f>IF(支払先マスタ!A48="","",支払先マスタ!A48)</f>
        <v/>
      </c>
      <c r="B48" s="76">
        <f>IF(COUNT(C48:Y48)=0,"",SUM(C48:Y48))</f>
        <v/>
      </c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4" t="n"/>
    </row>
    <row r="49">
      <c r="A49" s="74">
        <f>IF(支払先マスタ!A49="","",支払先マスタ!A49)</f>
        <v/>
      </c>
      <c r="B49" s="76">
        <f>IF(COUNT(C49:Y49)=0,"",SUM(C49:Y49))</f>
        <v/>
      </c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4" t="n"/>
    </row>
    <row r="50">
      <c r="A50" s="74">
        <f>IF(支払先マスタ!A50="","",支払先マスタ!A50)</f>
        <v/>
      </c>
      <c r="B50" s="76">
        <f>IF(COUNT(C50:Y50)=0,"",SUM(C50:Y50))</f>
        <v/>
      </c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4" t="n"/>
    </row>
    <row r="51">
      <c r="A51" s="74">
        <f>IF(支払先マスタ!A51="","",支払先マスタ!A51)</f>
        <v/>
      </c>
      <c r="B51" s="76">
        <f>IF(COUNT(C51:Y51)=0,"",SUM(C51:Y51))</f>
        <v/>
      </c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4" t="n"/>
    </row>
    <row r="52">
      <c r="A52" s="74">
        <f>IF(支払先マスタ!A52="","",支払先マスタ!A52)</f>
        <v/>
      </c>
      <c r="B52" s="76">
        <f>IF(COUNT(C52:Y52)=0,"",SUM(C52:Y52))</f>
        <v/>
      </c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4" t="n"/>
    </row>
    <row r="53">
      <c r="A53" s="74">
        <f>IF(支払先マスタ!A53="","",支払先マスタ!A53)</f>
        <v/>
      </c>
      <c r="B53" s="76">
        <f>IF(COUNT(C53:Y53)=0,"",SUM(C53:Y53))</f>
        <v/>
      </c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4" t="n"/>
    </row>
    <row r="54">
      <c r="A54" s="74">
        <f>IF(支払先マスタ!A54="","",支払先マスタ!A54)</f>
        <v/>
      </c>
      <c r="B54" s="76">
        <f>IF(COUNT(C54:Y54)=0,"",SUM(C54:Y54))</f>
        <v/>
      </c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4" t="n"/>
    </row>
    <row r="55">
      <c r="A55" s="74">
        <f>IF(支払先マスタ!A55="","",支払先マスタ!A55)</f>
        <v/>
      </c>
      <c r="B55" s="76">
        <f>IF(COUNT(C55:Y55)=0,"",SUM(C55:Y55))</f>
        <v/>
      </c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4" t="n"/>
    </row>
    <row r="56">
      <c r="A56" s="77" t="inlineStr">
        <is>
          <t>合計</t>
        </is>
      </c>
      <c r="B56" s="78">
        <f>IF(COUNT(B3:B55)=0,"",SUM(B3:B55))</f>
        <v/>
      </c>
      <c r="C56" s="78">
        <f>IF(COUNT(C3:C55)=0,"",SUM(C3:C55))</f>
        <v/>
      </c>
      <c r="D56" s="78">
        <f>IF(COUNT(D3:D55)=0,"",SUM(D3:D55))</f>
        <v/>
      </c>
      <c r="E56" s="78">
        <f>IF(COUNT(E3:E55)=0,"",SUM(E3:E55))</f>
        <v/>
      </c>
      <c r="F56" s="78">
        <f>IF(COUNT(F3:F55)=0,"",SUM(F3:F55))</f>
        <v/>
      </c>
      <c r="G56" s="78">
        <f>IF(COUNT(G3:G55)=0,"",SUM(G3:G55))</f>
        <v/>
      </c>
      <c r="H56" s="78">
        <f>IF(COUNT(H3:H55)=0,"",SUM(H3:H55))</f>
        <v/>
      </c>
      <c r="I56" s="78">
        <f>IF(COUNT(I3:I55)=0,"",SUM(I3:I55))</f>
        <v/>
      </c>
      <c r="J56" s="78">
        <f>IF(COUNT(J3:J55)=0,"",SUM(J3:J55))</f>
        <v/>
      </c>
      <c r="K56" s="78">
        <f>IF(COUNT(K3:K55)=0,"",SUM(K3:K55))</f>
        <v/>
      </c>
      <c r="L56" s="78">
        <f>IF(COUNT(L3:L55)=0,"",SUM(L3:L55))</f>
        <v/>
      </c>
      <c r="M56" s="78">
        <f>IF(COUNT(M3:M55)=0,"",SUM(M3:M55))</f>
        <v/>
      </c>
      <c r="N56" s="78">
        <f>IF(COUNT(N3:N55)=0,"",SUM(N3:N55))</f>
        <v/>
      </c>
      <c r="O56" s="78">
        <f>IF(COUNT(O3:O55)=0,"",SUM(O3:O55))</f>
        <v/>
      </c>
      <c r="P56" s="78">
        <f>IF(COUNT(P3:P55)=0,"",SUM(P3:P55))</f>
        <v/>
      </c>
      <c r="Q56" s="78">
        <f>IF(COUNT(Q3:Q55)=0,"",SUM(Q3:Q55))</f>
        <v/>
      </c>
      <c r="R56" s="78">
        <f>IF(COUNT(R3:R55)=0,"",SUM(R3:R55))</f>
        <v/>
      </c>
      <c r="S56" s="78">
        <f>IF(COUNT(S3:S55)=0,"",SUM(S3:S55))</f>
        <v/>
      </c>
      <c r="T56" s="78">
        <f>IF(COUNT(T3:T55)=0,"",SUM(T3:T55))</f>
        <v/>
      </c>
      <c r="U56" s="78">
        <f>IF(COUNT(U3:U55)=0,"",SUM(U3:U55))</f>
        <v/>
      </c>
      <c r="V56" s="78">
        <f>IF(COUNT(V3:V55)=0,"",SUM(V3:V55))</f>
        <v/>
      </c>
      <c r="W56" s="78">
        <f>IF(COUNT(W3:W55)=0,"",SUM(W3:W55))</f>
        <v/>
      </c>
      <c r="X56" s="78">
        <f>IF(COUNT(X3:X55)=0,"",SUM(X3:X55))</f>
        <v/>
      </c>
      <c r="Y56" s="78">
        <f>IF(COUNT(Y3:Y55)=0,"",SUM(Y3:Y55))</f>
        <v/>
      </c>
      <c r="Z56" s="7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26" customWidth="1" min="26" max="26"/>
  </cols>
  <sheetData>
    <row r="1">
      <c r="A1" s="72" t="inlineStr">
        <is>
          <t>202608（2026年8月）  支払先別 × 勘定科目</t>
        </is>
      </c>
      <c r="E1" s="79" t="inlineStr">
        <is>
          <t>※ 支払先の追加は「支払先マスタ」／科目の追加は「科目別集計」シートで行うと全月に反映されます</t>
        </is>
      </c>
    </row>
    <row r="2" ht="54" customHeight="1">
      <c r="A2" s="73" t="inlineStr">
        <is>
          <t>支払先</t>
        </is>
      </c>
      <c r="B2" s="73" t="inlineStr">
        <is>
          <t>合計</t>
        </is>
      </c>
      <c r="C2" s="80">
        <f>IF(科目別集計!$A3="","",科目別集計!$A3)</f>
        <v/>
      </c>
      <c r="D2" s="80">
        <f>IF(科目別集計!$A4="","",科目別集計!$A4)</f>
        <v/>
      </c>
      <c r="E2" s="80">
        <f>IF(科目別集計!$A5="","",科目別集計!$A5)</f>
        <v/>
      </c>
      <c r="F2" s="80">
        <f>IF(科目別集計!$A6="","",科目別集計!$A6)</f>
        <v/>
      </c>
      <c r="G2" s="80">
        <f>IF(科目別集計!$A7="","",科目別集計!$A7)</f>
        <v/>
      </c>
      <c r="H2" s="80">
        <f>IF(科目別集計!$A8="","",科目別集計!$A8)</f>
        <v/>
      </c>
      <c r="I2" s="80">
        <f>IF(科目別集計!$A9="","",科目別集計!$A9)</f>
        <v/>
      </c>
      <c r="J2" s="80">
        <f>IF(科目別集計!$A10="","",科目別集計!$A10)</f>
        <v/>
      </c>
      <c r="K2" s="80">
        <f>IF(科目別集計!$A11="","",科目別集計!$A11)</f>
        <v/>
      </c>
      <c r="L2" s="80">
        <f>IF(科目別集計!$A12="","",科目別集計!$A12)</f>
        <v/>
      </c>
      <c r="M2" s="80">
        <f>IF(科目別集計!$A13="","",科目別集計!$A13)</f>
        <v/>
      </c>
      <c r="N2" s="80">
        <f>IF(科目別集計!$A14="","",科目別集計!$A14)</f>
        <v/>
      </c>
      <c r="O2" s="80">
        <f>IF(科目別集計!$A15="","",科目別集計!$A15)</f>
        <v/>
      </c>
      <c r="P2" s="80">
        <f>IF(科目別集計!$A16="","",科目別集計!$A16)</f>
        <v/>
      </c>
      <c r="Q2" s="80">
        <f>IF(科目別集計!$A17="","",科目別集計!$A17)</f>
        <v/>
      </c>
      <c r="R2" s="80">
        <f>IF(科目別集計!$A18="","",科目別集計!$A18)</f>
        <v/>
      </c>
      <c r="S2" s="80">
        <f>IF(科目別集計!$A19="","",科目別集計!$A19)</f>
        <v/>
      </c>
      <c r="T2" s="80">
        <f>IF(科目別集計!$A20="","",科目別集計!$A20)</f>
        <v/>
      </c>
      <c r="U2" s="80">
        <f>IF(科目別集計!$A21="","",科目別集計!$A21)</f>
        <v/>
      </c>
      <c r="V2" s="80">
        <f>IF(科目別集計!$A22="","",科目別集計!$A22)</f>
        <v/>
      </c>
      <c r="W2" s="80">
        <f>IF(科目別集計!$A23="","",科目別集計!$A23)</f>
        <v/>
      </c>
      <c r="X2" s="80">
        <f>IF(科目別集計!$A24="","",科目別集計!$A24)</f>
        <v/>
      </c>
      <c r="Y2" s="80">
        <f>IF(科目別集計!$A25="","",科目別集計!$A25)</f>
        <v/>
      </c>
      <c r="Z2" s="73" t="inlineStr">
        <is>
          <t>備考</t>
        </is>
      </c>
    </row>
    <row r="3">
      <c r="A3" s="81">
        <f>IF(支払先マスタ!A3="","",支払先マスタ!A3)</f>
        <v/>
      </c>
      <c r="B3" s="76">
        <f>IF(COUNT(C3:Y3)=0,"",SUM(C3:Y3))</f>
        <v/>
      </c>
      <c r="C3" s="75" t="n">
        <v>228360</v>
      </c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4" t="n"/>
    </row>
    <row r="4">
      <c r="A4" s="81">
        <f>IF(支払先マスタ!A4="","",支払先マスタ!A4)</f>
        <v/>
      </c>
      <c r="B4" s="76">
        <f>IF(COUNT(C4:Y4)=0,"",SUM(C4:Y4))</f>
        <v/>
      </c>
      <c r="C4" s="75" t="n">
        <v>382500</v>
      </c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4" t="n"/>
    </row>
    <row r="5">
      <c r="A5" s="81">
        <f>IF(支払先マスタ!A5="","",支払先マスタ!A5)</f>
        <v/>
      </c>
      <c r="B5" s="76">
        <f>IF(COUNT(C5:Y5)=0,"",SUM(C5:Y5))</f>
        <v/>
      </c>
      <c r="C5" s="75" t="n">
        <v>350000</v>
      </c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4" t="n"/>
    </row>
    <row r="6">
      <c r="A6" s="81">
        <f>IF(支払先マスタ!A6="","",支払先マスタ!A6)</f>
        <v/>
      </c>
      <c r="B6" s="76">
        <f>IF(COUNT(C6:Y6)=0,"",SUM(C6:Y6))</f>
        <v/>
      </c>
      <c r="C6" s="75" t="n">
        <v>390000</v>
      </c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4" t="n"/>
    </row>
    <row r="7">
      <c r="A7" s="81">
        <f>IF(支払先マスタ!A7="","",支払先マスタ!A7)</f>
        <v/>
      </c>
      <c r="B7" s="76">
        <f>IF(COUNT(C7:Y7)=0,"",SUM(C7:Y7))</f>
        <v/>
      </c>
      <c r="C7" s="75" t="n">
        <v>60000</v>
      </c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4" t="n"/>
    </row>
    <row r="8">
      <c r="A8" s="81">
        <f>IF(支払先マスタ!A8="","",支払先マスタ!A8)</f>
        <v/>
      </c>
      <c r="B8" s="76">
        <f>IF(COUNT(C8:Y8)=0,"",SUM(C8:Y8))</f>
        <v/>
      </c>
      <c r="C8" s="75" t="n">
        <v>170000</v>
      </c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4" t="n"/>
    </row>
    <row r="9">
      <c r="A9" s="81">
        <f>IF(支払先マスタ!A9="","",支払先マスタ!A9)</f>
        <v/>
      </c>
      <c r="B9" s="76">
        <f>IF(COUNT(C9:Y9)=0,"",SUM(C9:Y9))</f>
        <v/>
      </c>
      <c r="C9" s="75" t="n">
        <v>165000</v>
      </c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4" t="n"/>
    </row>
    <row r="10">
      <c r="A10" s="81">
        <f>IF(支払先マスタ!A10="","",支払先マスタ!A10)</f>
        <v/>
      </c>
      <c r="B10" s="76">
        <f>IF(COUNT(C10:Y10)=0,"",SUM(C10:Y10))</f>
        <v/>
      </c>
      <c r="C10" s="75" t="n">
        <v>55000</v>
      </c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4" t="n"/>
    </row>
    <row r="11">
      <c r="A11" s="81">
        <f>IF(支払先マスタ!A11="","",支払先マスタ!A11)</f>
        <v/>
      </c>
      <c r="B11" s="76">
        <f>IF(COUNT(C11:Y11)=0,"",SUM(C11:Y11))</f>
        <v/>
      </c>
      <c r="C11" s="75" t="n">
        <v>35200</v>
      </c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4" t="n"/>
    </row>
    <row r="12">
      <c r="A12" s="81">
        <f>IF(支払先マスタ!A12="","",支払先マスタ!A12)</f>
        <v/>
      </c>
      <c r="B12" s="76">
        <f>IF(COUNT(C12:Y12)=0,"",SUM(C12:Y12))</f>
        <v/>
      </c>
      <c r="C12" s="75" t="n">
        <v>29700</v>
      </c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4" t="n"/>
    </row>
    <row r="13">
      <c r="A13" s="81">
        <f>IF(支払先マスタ!A13="","",支払先マスタ!A13)</f>
        <v/>
      </c>
      <c r="B13" s="76">
        <f>IF(COUNT(C13:Y13)=0,"",SUM(C13:Y13))</f>
        <v/>
      </c>
      <c r="C13" s="75" t="n">
        <v>90000</v>
      </c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4" t="n"/>
    </row>
    <row r="14">
      <c r="A14" s="81">
        <f>IF(支払先マスタ!A14="","",支払先マスタ!A14)</f>
        <v/>
      </c>
      <c r="B14" s="76">
        <f>IF(COUNT(C14:Y14)=0,"",SUM(C14:Y14))</f>
        <v/>
      </c>
      <c r="C14" s="75" t="n">
        <v>67300</v>
      </c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4" t="n"/>
    </row>
    <row r="15">
      <c r="A15" s="74">
        <f>IF(支払先マスタ!A15="","",支払先マスタ!A15)</f>
        <v/>
      </c>
      <c r="B15" s="76">
        <f>IF(COUNT(C15:Y15)=0,"",SUM(C15:Y15))</f>
        <v/>
      </c>
      <c r="C15" s="75" t="n"/>
      <c r="D15" s="75" t="n">
        <v>35310</v>
      </c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4" t="n"/>
    </row>
    <row r="16">
      <c r="A16" s="74">
        <f>IF(支払先マスタ!A16="","",支払先マスタ!A16)</f>
        <v/>
      </c>
      <c r="B16" s="76">
        <f>IF(COUNT(C16:Y16)=0,"",SUM(C16:Y16))</f>
        <v/>
      </c>
      <c r="C16" s="75" t="n"/>
      <c r="D16" s="75" t="n">
        <v>1649540</v>
      </c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4" t="n"/>
    </row>
    <row r="17">
      <c r="A17" s="74">
        <f>IF(支払先マスタ!A17="","",支払先マスタ!A17)</f>
        <v/>
      </c>
      <c r="B17" s="76">
        <f>IF(COUNT(C17:Y17)=0,"",SUM(C17:Y17))</f>
        <v/>
      </c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4" t="n"/>
    </row>
    <row r="18">
      <c r="A18" s="74">
        <f>IF(支払先マスタ!A18="","",支払先マスタ!A18)</f>
        <v/>
      </c>
      <c r="B18" s="76">
        <f>IF(COUNT(C18:Y18)=0,"",SUM(C18:Y18))</f>
        <v/>
      </c>
      <c r="C18" s="75" t="n"/>
      <c r="D18" s="75" t="n">
        <v>485760</v>
      </c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4" t="n"/>
    </row>
    <row r="19">
      <c r="A19" s="74">
        <f>IF(支払先マスタ!A19="","",支払先マスタ!A19)</f>
        <v/>
      </c>
      <c r="B19" s="76">
        <f>IF(COUNT(C19:Y19)=0,"",SUM(C19:Y19))</f>
        <v/>
      </c>
      <c r="C19" s="75" t="n"/>
      <c r="D19" s="75" t="n">
        <v>286000</v>
      </c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4" t="n"/>
    </row>
    <row r="20">
      <c r="A20" s="81">
        <f>IF(支払先マスタ!A20="","",支払先マスタ!A20)</f>
        <v/>
      </c>
      <c r="B20" s="76">
        <f>IF(COUNT(C20:Y20)=0,"",SUM(C20:Y20))</f>
        <v/>
      </c>
      <c r="C20" s="75" t="n"/>
      <c r="D20" s="75" t="n"/>
      <c r="E20" s="75" t="n">
        <v>461780</v>
      </c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4" t="n"/>
    </row>
    <row r="21">
      <c r="A21" s="81">
        <f>IF(支払先マスタ!A21="","",支払先マスタ!A21)</f>
        <v/>
      </c>
      <c r="B21" s="76">
        <f>IF(COUNT(C21:Y21)=0,"",SUM(C21:Y21))</f>
        <v/>
      </c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4" t="n"/>
    </row>
    <row r="22">
      <c r="A22" s="81">
        <f>IF(支払先マスタ!A22="","",支払先マスタ!A22)</f>
        <v/>
      </c>
      <c r="B22" s="76">
        <f>IF(COUNT(C22:Y22)=0,"",SUM(C22:Y22))</f>
        <v/>
      </c>
      <c r="C22" s="75" t="n"/>
      <c r="D22" s="75" t="n"/>
      <c r="E22" s="75" t="n">
        <v>155881</v>
      </c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4" t="n"/>
    </row>
    <row r="23">
      <c r="A23" s="81">
        <f>IF(支払先マスタ!A23="","",支払先マスタ!A23)</f>
        <v/>
      </c>
      <c r="B23" s="76">
        <f>IF(COUNT(C23:Y23)=0,"",SUM(C23:Y23))</f>
        <v/>
      </c>
      <c r="C23" s="75" t="n"/>
      <c r="D23" s="75" t="n"/>
      <c r="E23" s="75" t="n">
        <v>151756</v>
      </c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4" t="n"/>
    </row>
    <row r="24">
      <c r="A24" s="74">
        <f>IF(支払先マスタ!A24="","",支払先マスタ!A24)</f>
        <v/>
      </c>
      <c r="B24" s="76">
        <f>IF(COUNT(C24:Y24)=0,"",SUM(C24:Y24))</f>
        <v/>
      </c>
      <c r="C24" s="75" t="n"/>
      <c r="D24" s="75" t="n"/>
      <c r="E24" s="75" t="n"/>
      <c r="F24" s="75" t="n">
        <v>60000</v>
      </c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4" t="n"/>
    </row>
    <row r="25">
      <c r="A25" s="74">
        <f>IF(支払先マスタ!A25="","",支払先マスタ!A25)</f>
        <v/>
      </c>
      <c r="B25" s="76">
        <f>IF(COUNT(C25:Y25)=0,"",SUM(C25:Y25))</f>
        <v/>
      </c>
      <c r="C25" s="75" t="n"/>
      <c r="D25" s="75" t="n"/>
      <c r="E25" s="75" t="n"/>
      <c r="F25" s="75" t="n">
        <v>89100</v>
      </c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4" t="n"/>
    </row>
    <row r="26">
      <c r="A26" s="74">
        <f>IF(支払先マスタ!A26="","",支払先マスタ!A26)</f>
        <v/>
      </c>
      <c r="B26" s="76">
        <f>IF(COUNT(C26:Y26)=0,"",SUM(C26:Y26))</f>
        <v/>
      </c>
      <c r="C26" s="75" t="n"/>
      <c r="D26" s="75" t="n"/>
      <c r="E26" s="75" t="n"/>
      <c r="F26" s="75" t="n">
        <v>31020</v>
      </c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4" t="n"/>
    </row>
    <row r="27">
      <c r="A27" s="74">
        <f>IF(支払先マスタ!A27="","",支払先マスタ!A27)</f>
        <v/>
      </c>
      <c r="B27" s="76">
        <f>IF(COUNT(C27:Y27)=0,"",SUM(C27:Y27))</f>
        <v/>
      </c>
      <c r="C27" s="75" t="n"/>
      <c r="D27" s="75" t="n"/>
      <c r="E27" s="75" t="n"/>
      <c r="F27" s="75" t="n">
        <v>20167</v>
      </c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4" t="n"/>
    </row>
    <row r="28">
      <c r="A28" s="74">
        <f>IF(支払先マスタ!A28="","",支払先マスタ!A28)</f>
        <v/>
      </c>
      <c r="B28" s="76">
        <f>IF(COUNT(C28:Y28)=0,"",SUM(C28:Y28))</f>
        <v/>
      </c>
      <c r="C28" s="75" t="n"/>
      <c r="D28" s="75" t="n"/>
      <c r="E28" s="75" t="n"/>
      <c r="F28" s="75" t="n">
        <v>66000</v>
      </c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4" t="n"/>
    </row>
    <row r="29">
      <c r="A29" s="81">
        <f>IF(支払先マスタ!A29="","",支払先マスタ!A29)</f>
        <v/>
      </c>
      <c r="B29" s="76">
        <f>IF(COUNT(C29:Y29)=0,"",SUM(C29:Y29))</f>
        <v/>
      </c>
      <c r="C29" s="75" t="n"/>
      <c r="D29" s="75" t="n"/>
      <c r="E29" s="75" t="n"/>
      <c r="F29" s="75" t="n"/>
      <c r="G29" s="75" t="n">
        <v>72056</v>
      </c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4" t="n"/>
    </row>
    <row r="30">
      <c r="A30" s="81">
        <f>IF(支払先マスタ!A30="","",支払先マスタ!A30)</f>
        <v/>
      </c>
      <c r="B30" s="76">
        <f>IF(COUNT(C30:Y30)=0,"",SUM(C30:Y30))</f>
        <v/>
      </c>
      <c r="C30" s="75" t="n"/>
      <c r="D30" s="75" t="n"/>
      <c r="E30" s="75" t="n"/>
      <c r="F30" s="75" t="n"/>
      <c r="G30" s="75" t="n">
        <v>2178</v>
      </c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4" t="n"/>
    </row>
    <row r="31">
      <c r="A31" s="81">
        <f>IF(支払先マスタ!A31="","",支払先マスタ!A31)</f>
        <v/>
      </c>
      <c r="B31" s="76">
        <f>IF(COUNT(C31:Y31)=0,"",SUM(C31:Y31))</f>
        <v/>
      </c>
      <c r="C31" s="75" t="n"/>
      <c r="D31" s="75" t="n"/>
      <c r="E31" s="75" t="n"/>
      <c r="F31" s="75" t="n"/>
      <c r="G31" s="75" t="n">
        <v>9974</v>
      </c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4" t="n"/>
    </row>
    <row r="32">
      <c r="A32" s="74">
        <f>IF(支払先マスタ!A32="","",支払先マスタ!A32)</f>
        <v/>
      </c>
      <c r="B32" s="76">
        <f>IF(COUNT(C32:Y32)=0,"",SUM(C32:Y32))</f>
        <v/>
      </c>
      <c r="C32" s="75" t="n"/>
      <c r="D32" s="75" t="n"/>
      <c r="E32" s="75" t="n"/>
      <c r="F32" s="75" t="n"/>
      <c r="G32" s="75" t="n"/>
      <c r="H32" s="75" t="n"/>
      <c r="I32" s="75" t="n">
        <v>14720</v>
      </c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4" t="n"/>
    </row>
    <row r="33">
      <c r="A33" s="81">
        <f>IF(支払先マスタ!A33="","",支払先マスタ!A33)</f>
        <v/>
      </c>
      <c r="B33" s="76">
        <f>IF(COUNT(C33:Y33)=0,"",SUM(C33:Y33))</f>
        <v/>
      </c>
      <c r="C33" s="75" t="n"/>
      <c r="D33" s="75" t="n"/>
      <c r="E33" s="75" t="n"/>
      <c r="F33" s="75" t="n"/>
      <c r="G33" s="75" t="n"/>
      <c r="H33" s="75" t="n"/>
      <c r="I33" s="75" t="n"/>
      <c r="J33" s="75" t="n">
        <v>477592</v>
      </c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4" t="n"/>
    </row>
    <row r="34">
      <c r="A34" s="74">
        <f>IF(支払先マスタ!A34="","",支払先マスタ!A34)</f>
        <v/>
      </c>
      <c r="B34" s="76">
        <f>IF(COUNT(C34:Y34)=0,"",SUM(C34:Y34))</f>
        <v/>
      </c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4" t="n"/>
    </row>
    <row r="35">
      <c r="A35" s="81">
        <f>IF(支払先マスタ!A35="","",支払先マスタ!A35)</f>
        <v/>
      </c>
      <c r="B35" s="76">
        <f>IF(COUNT(C35:Y35)=0,"",SUM(C35:Y35))</f>
        <v/>
      </c>
      <c r="C35" s="75" t="n"/>
      <c r="D35" s="75" t="n"/>
      <c r="E35" s="75" t="n">
        <v>160084</v>
      </c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4" t="n"/>
    </row>
    <row r="36">
      <c r="A36" s="81">
        <f>IF(支払先マスタ!A36="","",支払先マスタ!A36)</f>
        <v/>
      </c>
      <c r="B36" s="76">
        <f>IF(COUNT(C36:Y36)=0,"",SUM(C36:Y36))</f>
        <v/>
      </c>
      <c r="C36" s="75" t="n"/>
      <c r="D36" s="75" t="n">
        <v>129494</v>
      </c>
      <c r="E36" s="75" t="n"/>
      <c r="F36" s="75" t="n"/>
      <c r="G36" s="75" t="n"/>
      <c r="H36" s="75" t="n">
        <v>849200</v>
      </c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4" t="n"/>
    </row>
    <row r="37">
      <c r="A37" s="81">
        <f>IF(支払先マスタ!A37="","",支払先マスタ!A37)</f>
        <v/>
      </c>
      <c r="B37" s="76">
        <f>IF(COUNT(C37:Y37)=0,"",SUM(C37:Y37))</f>
        <v/>
      </c>
      <c r="C37" s="75" t="n"/>
      <c r="D37" s="75" t="n">
        <v>339900</v>
      </c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4" t="n"/>
    </row>
    <row r="38">
      <c r="A38" s="81">
        <f>IF(支払先マスタ!A38="","",支払先マスタ!A38)</f>
        <v/>
      </c>
      <c r="B38" s="76">
        <f>IF(COUNT(C38:Y38)=0,"",SUM(C38:Y38))</f>
        <v/>
      </c>
      <c r="C38" s="75" t="n"/>
      <c r="D38" s="75" t="n">
        <v>56760</v>
      </c>
      <c r="E38" s="75" t="n"/>
      <c r="F38" s="75" t="n"/>
      <c r="G38" s="75" t="n"/>
      <c r="H38" s="75" t="n"/>
      <c r="I38" s="75" t="n"/>
      <c r="J38" s="75" t="n"/>
      <c r="K38" s="75" t="n">
        <v>17540</v>
      </c>
      <c r="L38" s="75" t="n">
        <v>8800</v>
      </c>
      <c r="M38" s="75" t="n"/>
      <c r="N38" s="75" t="n"/>
      <c r="O38" s="75" t="n">
        <v>7500</v>
      </c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4" t="n"/>
    </row>
    <row r="39">
      <c r="A39" s="81">
        <f>IF(支払先マスタ!A39="","",支払先マスタ!A39)</f>
        <v/>
      </c>
      <c r="B39" s="76">
        <f>IF(COUNT(C39:Y39)=0,"",SUM(C39:Y39))</f>
        <v/>
      </c>
      <c r="C39" s="75" t="n"/>
      <c r="D39" s="75" t="n">
        <v>46200</v>
      </c>
      <c r="E39" s="75" t="n">
        <v>14300</v>
      </c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4" t="n"/>
    </row>
    <row r="40">
      <c r="A40" s="81">
        <f>IF(支払先マスタ!A40="","",支払先マスタ!A40)</f>
        <v/>
      </c>
      <c r="B40" s="76">
        <f>IF(COUNT(C40:Y40)=0,"",SUM(C40:Y40))</f>
        <v/>
      </c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4" t="n"/>
    </row>
    <row r="41">
      <c r="A41" s="74">
        <f>IF(支払先マスタ!A41="","",支払先マスタ!A41)</f>
        <v/>
      </c>
      <c r="B41" s="76">
        <f>IF(COUNT(C41:Y41)=0,"",SUM(C41:Y41))</f>
        <v/>
      </c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4" t="n"/>
    </row>
    <row r="42">
      <c r="A42" s="74">
        <f>IF(支払先マスタ!A42="","",支払先マスタ!A42)</f>
        <v/>
      </c>
      <c r="B42" s="76">
        <f>IF(COUNT(C42:Y42)=0,"",SUM(C42:Y42))</f>
        <v/>
      </c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4" t="n"/>
    </row>
    <row r="43">
      <c r="A43" s="74">
        <f>IF(支払先マスタ!A43="","",支払先マスタ!A43)</f>
        <v/>
      </c>
      <c r="B43" s="76">
        <f>IF(COUNT(C43:Y43)=0,"",SUM(C43:Y43))</f>
        <v/>
      </c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4" t="n"/>
    </row>
    <row r="44">
      <c r="A44" s="74">
        <f>IF(支払先マスタ!A44="","",支払先マスタ!A44)</f>
        <v/>
      </c>
      <c r="B44" s="76">
        <f>IF(COUNT(C44:Y44)=0,"",SUM(C44:Y44))</f>
        <v/>
      </c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4" t="n"/>
    </row>
    <row r="45">
      <c r="A45" s="74">
        <f>IF(支払先マスタ!A45="","",支払先マスタ!A45)</f>
        <v/>
      </c>
      <c r="B45" s="76">
        <f>IF(COUNT(C45:Y45)=0,"",SUM(C45:Y45))</f>
        <v/>
      </c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4" t="n"/>
    </row>
    <row r="46">
      <c r="A46" s="74">
        <f>IF(支払先マスタ!A46="","",支払先マスタ!A46)</f>
        <v/>
      </c>
      <c r="B46" s="76">
        <f>IF(COUNT(C46:Y46)=0,"",SUM(C46:Y46))</f>
        <v/>
      </c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4" t="n"/>
    </row>
    <row r="47">
      <c r="A47" s="74">
        <f>IF(支払先マスタ!A47="","",支払先マスタ!A47)</f>
        <v/>
      </c>
      <c r="B47" s="76">
        <f>IF(COUNT(C47:Y47)=0,"",SUM(C47:Y47))</f>
        <v/>
      </c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4" t="n"/>
    </row>
    <row r="48">
      <c r="A48" s="74">
        <f>IF(支払先マスタ!A48="","",支払先マスタ!A48)</f>
        <v/>
      </c>
      <c r="B48" s="76">
        <f>IF(COUNT(C48:Y48)=0,"",SUM(C48:Y48))</f>
        <v/>
      </c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4" t="n"/>
    </row>
    <row r="49">
      <c r="A49" s="74">
        <f>IF(支払先マスタ!A49="","",支払先マスタ!A49)</f>
        <v/>
      </c>
      <c r="B49" s="76">
        <f>IF(COUNT(C49:Y49)=0,"",SUM(C49:Y49))</f>
        <v/>
      </c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4" t="n"/>
    </row>
    <row r="50">
      <c r="A50" s="74">
        <f>IF(支払先マスタ!A50="","",支払先マスタ!A50)</f>
        <v/>
      </c>
      <c r="B50" s="76">
        <f>IF(COUNT(C50:Y50)=0,"",SUM(C50:Y50))</f>
        <v/>
      </c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4" t="n"/>
    </row>
    <row r="51">
      <c r="A51" s="74">
        <f>IF(支払先マスタ!A51="","",支払先マスタ!A51)</f>
        <v/>
      </c>
      <c r="B51" s="76">
        <f>IF(COUNT(C51:Y51)=0,"",SUM(C51:Y51))</f>
        <v/>
      </c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4" t="n"/>
    </row>
    <row r="52">
      <c r="A52" s="74">
        <f>IF(支払先マスタ!A52="","",支払先マスタ!A52)</f>
        <v/>
      </c>
      <c r="B52" s="76">
        <f>IF(COUNT(C52:Y52)=0,"",SUM(C52:Y52))</f>
        <v/>
      </c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4" t="n"/>
    </row>
    <row r="53">
      <c r="A53" s="74">
        <f>IF(支払先マスタ!A53="","",支払先マスタ!A53)</f>
        <v/>
      </c>
      <c r="B53" s="76">
        <f>IF(COUNT(C53:Y53)=0,"",SUM(C53:Y53))</f>
        <v/>
      </c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4" t="n"/>
    </row>
    <row r="54">
      <c r="A54" s="74">
        <f>IF(支払先マスタ!A54="","",支払先マスタ!A54)</f>
        <v/>
      </c>
      <c r="B54" s="76">
        <f>IF(COUNT(C54:Y54)=0,"",SUM(C54:Y54))</f>
        <v/>
      </c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4" t="n"/>
    </row>
    <row r="55">
      <c r="A55" s="74">
        <f>IF(支払先マスタ!A55="","",支払先マスタ!A55)</f>
        <v/>
      </c>
      <c r="B55" s="76">
        <f>IF(COUNT(C55:Y55)=0,"",SUM(C55:Y55))</f>
        <v/>
      </c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4" t="n"/>
    </row>
    <row r="56">
      <c r="A56" s="77" t="inlineStr">
        <is>
          <t>合計</t>
        </is>
      </c>
      <c r="B56" s="78">
        <f>IF(COUNT(B3:B55)=0,"",SUM(B3:B55))</f>
        <v/>
      </c>
      <c r="C56" s="78">
        <f>IF(COUNT(C3:C55)=0,"",SUM(C3:C55))</f>
        <v/>
      </c>
      <c r="D56" s="78">
        <f>IF(COUNT(D3:D55)=0,"",SUM(D3:D55))</f>
        <v/>
      </c>
      <c r="E56" s="78">
        <f>IF(COUNT(E3:E55)=0,"",SUM(E3:E55))</f>
        <v/>
      </c>
      <c r="F56" s="78">
        <f>IF(COUNT(F3:F55)=0,"",SUM(F3:F55))</f>
        <v/>
      </c>
      <c r="G56" s="78">
        <f>IF(COUNT(G3:G55)=0,"",SUM(G3:G55))</f>
        <v/>
      </c>
      <c r="H56" s="78">
        <f>IF(COUNT(H3:H55)=0,"",SUM(H3:H55))</f>
        <v/>
      </c>
      <c r="I56" s="78">
        <f>IF(COUNT(I3:I55)=0,"",SUM(I3:I55))</f>
        <v/>
      </c>
      <c r="J56" s="78">
        <f>IF(COUNT(J3:J55)=0,"",SUM(J3:J55))</f>
        <v/>
      </c>
      <c r="K56" s="78">
        <f>IF(COUNT(K3:K55)=0,"",SUM(K3:K55))</f>
        <v/>
      </c>
      <c r="L56" s="78">
        <f>IF(COUNT(L3:L55)=0,"",SUM(L3:L55))</f>
        <v/>
      </c>
      <c r="M56" s="78">
        <f>IF(COUNT(M3:M55)=0,"",SUM(M3:M55))</f>
        <v/>
      </c>
      <c r="N56" s="78">
        <f>IF(COUNT(N3:N55)=0,"",SUM(N3:N55))</f>
        <v/>
      </c>
      <c r="O56" s="78">
        <f>IF(COUNT(O3:O55)=0,"",SUM(O3:O55))</f>
        <v/>
      </c>
      <c r="P56" s="78">
        <f>IF(COUNT(P3:P55)=0,"",SUM(P3:P55))</f>
        <v/>
      </c>
      <c r="Q56" s="78">
        <f>IF(COUNT(Q3:Q55)=0,"",SUM(Q3:Q55))</f>
        <v/>
      </c>
      <c r="R56" s="78">
        <f>IF(COUNT(R3:R55)=0,"",SUM(R3:R55))</f>
        <v/>
      </c>
      <c r="S56" s="78">
        <f>IF(COUNT(S3:S55)=0,"",SUM(S3:S55))</f>
        <v/>
      </c>
      <c r="T56" s="78">
        <f>IF(COUNT(T3:T55)=0,"",SUM(T3:T55))</f>
        <v/>
      </c>
      <c r="U56" s="78">
        <f>IF(COUNT(U3:U55)=0,"",SUM(U3:U55))</f>
        <v/>
      </c>
      <c r="V56" s="78">
        <f>IF(COUNT(V3:V55)=0,"",SUM(V3:V55))</f>
        <v/>
      </c>
      <c r="W56" s="78">
        <f>IF(COUNT(W3:W55)=0,"",SUM(W3:W55))</f>
        <v/>
      </c>
      <c r="X56" s="78">
        <f>IF(COUNT(X3:X55)=0,"",SUM(X3:X55))</f>
        <v/>
      </c>
      <c r="Y56" s="78">
        <f>IF(COUNT(Y3:Y55)=0,"",SUM(Y3:Y55))</f>
        <v/>
      </c>
      <c r="Z56" s="7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26" customWidth="1" min="26" max="26"/>
  </cols>
  <sheetData>
    <row r="1">
      <c r="A1" s="72" t="inlineStr">
        <is>
          <t>202609（2026年9月）  支払先別 × 勘定科目</t>
        </is>
      </c>
      <c r="E1" s="79" t="inlineStr">
        <is>
          <t>※ 支払先の追加は「支払先マスタ」／科目の追加は「科目別集計」シートで行うと全月に反映されます</t>
        </is>
      </c>
    </row>
    <row r="2" ht="54" customHeight="1">
      <c r="A2" s="73" t="inlineStr">
        <is>
          <t>支払先</t>
        </is>
      </c>
      <c r="B2" s="73" t="inlineStr">
        <is>
          <t>合計</t>
        </is>
      </c>
      <c r="C2" s="80">
        <f>IF(科目別集計!$A3="","",科目別集計!$A3)</f>
        <v/>
      </c>
      <c r="D2" s="80">
        <f>IF(科目別集計!$A4="","",科目別集計!$A4)</f>
        <v/>
      </c>
      <c r="E2" s="80">
        <f>IF(科目別集計!$A5="","",科目別集計!$A5)</f>
        <v/>
      </c>
      <c r="F2" s="80">
        <f>IF(科目別集計!$A6="","",科目別集計!$A6)</f>
        <v/>
      </c>
      <c r="G2" s="80">
        <f>IF(科目別集計!$A7="","",科目別集計!$A7)</f>
        <v/>
      </c>
      <c r="H2" s="80">
        <f>IF(科目別集計!$A8="","",科目別集計!$A8)</f>
        <v/>
      </c>
      <c r="I2" s="80">
        <f>IF(科目別集計!$A9="","",科目別集計!$A9)</f>
        <v/>
      </c>
      <c r="J2" s="80">
        <f>IF(科目別集計!$A10="","",科目別集計!$A10)</f>
        <v/>
      </c>
      <c r="K2" s="80">
        <f>IF(科目別集計!$A11="","",科目別集計!$A11)</f>
        <v/>
      </c>
      <c r="L2" s="80">
        <f>IF(科目別集計!$A12="","",科目別集計!$A12)</f>
        <v/>
      </c>
      <c r="M2" s="80">
        <f>IF(科目別集計!$A13="","",科目別集計!$A13)</f>
        <v/>
      </c>
      <c r="N2" s="80">
        <f>IF(科目別集計!$A14="","",科目別集計!$A14)</f>
        <v/>
      </c>
      <c r="O2" s="80">
        <f>IF(科目別集計!$A15="","",科目別集計!$A15)</f>
        <v/>
      </c>
      <c r="P2" s="80">
        <f>IF(科目別集計!$A16="","",科目別集計!$A16)</f>
        <v/>
      </c>
      <c r="Q2" s="80">
        <f>IF(科目別集計!$A17="","",科目別集計!$A17)</f>
        <v/>
      </c>
      <c r="R2" s="80">
        <f>IF(科目別集計!$A18="","",科目別集計!$A18)</f>
        <v/>
      </c>
      <c r="S2" s="80">
        <f>IF(科目別集計!$A19="","",科目別集計!$A19)</f>
        <v/>
      </c>
      <c r="T2" s="80">
        <f>IF(科目別集計!$A20="","",科目別集計!$A20)</f>
        <v/>
      </c>
      <c r="U2" s="80">
        <f>IF(科目別集計!$A21="","",科目別集計!$A21)</f>
        <v/>
      </c>
      <c r="V2" s="80">
        <f>IF(科目別集計!$A22="","",科目別集計!$A22)</f>
        <v/>
      </c>
      <c r="W2" s="80">
        <f>IF(科目別集計!$A23="","",科目別集計!$A23)</f>
        <v/>
      </c>
      <c r="X2" s="80">
        <f>IF(科目別集計!$A24="","",科目別集計!$A24)</f>
        <v/>
      </c>
      <c r="Y2" s="80">
        <f>IF(科目別集計!$A25="","",科目別集計!$A25)</f>
        <v/>
      </c>
      <c r="Z2" s="73" t="inlineStr">
        <is>
          <t>備考</t>
        </is>
      </c>
    </row>
    <row r="3">
      <c r="A3" s="81">
        <f>IF(支払先マスタ!A3="","",支払先マスタ!A3)</f>
        <v/>
      </c>
      <c r="B3" s="76">
        <f>IF(COUNT(C3:Y3)=0,"",SUM(C3:Y3))</f>
        <v/>
      </c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4" t="n"/>
    </row>
    <row r="4">
      <c r="A4" s="81">
        <f>IF(支払先マスタ!A4="","",支払先マスタ!A4)</f>
        <v/>
      </c>
      <c r="B4" s="76">
        <f>IF(COUNT(C4:Y4)=0,"",SUM(C4:Y4))</f>
        <v/>
      </c>
      <c r="C4" s="75" t="n">
        <v>382500</v>
      </c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4" t="n"/>
    </row>
    <row r="5">
      <c r="A5" s="81">
        <f>IF(支払先マスタ!A5="","",支払先マスタ!A5)</f>
        <v/>
      </c>
      <c r="B5" s="76">
        <f>IF(COUNT(C5:Y5)=0,"",SUM(C5:Y5))</f>
        <v/>
      </c>
      <c r="C5" s="75" t="n">
        <v>350000</v>
      </c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4" t="n"/>
    </row>
    <row r="6">
      <c r="A6" s="81">
        <f>IF(支払先マスタ!A6="","",支払先マスタ!A6)</f>
        <v/>
      </c>
      <c r="B6" s="76">
        <f>IF(COUNT(C6:Y6)=0,"",SUM(C6:Y6))</f>
        <v/>
      </c>
      <c r="C6" s="75" t="n">
        <v>390000</v>
      </c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4" t="n"/>
    </row>
    <row r="7">
      <c r="A7" s="81">
        <f>IF(支払先マスタ!A7="","",支払先マスタ!A7)</f>
        <v/>
      </c>
      <c r="B7" s="76">
        <f>IF(COUNT(C7:Y7)=0,"",SUM(C7:Y7))</f>
        <v/>
      </c>
      <c r="C7" s="75" t="n">
        <v>60000</v>
      </c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4" t="n"/>
    </row>
    <row r="8">
      <c r="A8" s="81">
        <f>IF(支払先マスタ!A8="","",支払先マスタ!A8)</f>
        <v/>
      </c>
      <c r="B8" s="76">
        <f>IF(COUNT(C8:Y8)=0,"",SUM(C8:Y8))</f>
        <v/>
      </c>
      <c r="C8" s="75" t="n">
        <v>170000</v>
      </c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4" t="n"/>
    </row>
    <row r="9">
      <c r="A9" s="81">
        <f>IF(支払先マスタ!A9="","",支払先マスタ!A9)</f>
        <v/>
      </c>
      <c r="B9" s="76">
        <f>IF(COUNT(C9:Y9)=0,"",SUM(C9:Y9))</f>
        <v/>
      </c>
      <c r="C9" s="75" t="n">
        <v>165000</v>
      </c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4" t="n"/>
    </row>
    <row r="10">
      <c r="A10" s="81">
        <f>IF(支払先マスタ!A10="","",支払先マスタ!A10)</f>
        <v/>
      </c>
      <c r="B10" s="76">
        <f>IF(COUNT(C10:Y10)=0,"",SUM(C10:Y10))</f>
        <v/>
      </c>
      <c r="C10" s="75" t="n">
        <v>55000</v>
      </c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4" t="n"/>
    </row>
    <row r="11">
      <c r="A11" s="81">
        <f>IF(支払先マスタ!A11="","",支払先マスタ!A11)</f>
        <v/>
      </c>
      <c r="B11" s="76">
        <f>IF(COUNT(C11:Y11)=0,"",SUM(C11:Y11))</f>
        <v/>
      </c>
      <c r="C11" s="75" t="n">
        <v>35200</v>
      </c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4" t="n"/>
    </row>
    <row r="12">
      <c r="A12" s="81">
        <f>IF(支払先マスタ!A12="","",支払先マスタ!A12)</f>
        <v/>
      </c>
      <c r="B12" s="76">
        <f>IF(COUNT(C12:Y12)=0,"",SUM(C12:Y12))</f>
        <v/>
      </c>
      <c r="C12" s="75" t="n">
        <v>29700</v>
      </c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4" t="n"/>
    </row>
    <row r="13">
      <c r="A13" s="81">
        <f>IF(支払先マスタ!A13="","",支払先マスタ!A13)</f>
        <v/>
      </c>
      <c r="B13" s="76">
        <f>IF(COUNT(C13:Y13)=0,"",SUM(C13:Y13))</f>
        <v/>
      </c>
      <c r="C13" s="75" t="n">
        <v>90000</v>
      </c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4" t="n"/>
    </row>
    <row r="14">
      <c r="A14" s="81">
        <f>IF(支払先マスタ!A14="","",支払先マスタ!A14)</f>
        <v/>
      </c>
      <c r="B14" s="76">
        <f>IF(COUNT(C14:Y14)=0,"",SUM(C14:Y14))</f>
        <v/>
      </c>
      <c r="C14" s="75" t="n">
        <v>67300</v>
      </c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4" t="n"/>
    </row>
    <row r="15">
      <c r="A15" s="74">
        <f>IF(支払先マスタ!A15="","",支払先マスタ!A15)</f>
        <v/>
      </c>
      <c r="B15" s="76">
        <f>IF(COUNT(C15:Y15)=0,"",SUM(C15:Y15))</f>
        <v/>
      </c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4" t="n"/>
    </row>
    <row r="16">
      <c r="A16" s="74">
        <f>IF(支払先マスタ!A16="","",支払先マスタ!A16)</f>
        <v/>
      </c>
      <c r="B16" s="76">
        <f>IF(COUNT(C16:Y16)=0,"",SUM(C16:Y16))</f>
        <v/>
      </c>
      <c r="C16" s="75" t="n"/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4" t="n"/>
    </row>
    <row r="17">
      <c r="A17" s="74">
        <f>IF(支払先マスタ!A17="","",支払先マスタ!A17)</f>
        <v/>
      </c>
      <c r="B17" s="76">
        <f>IF(COUNT(C17:Y17)=0,"",SUM(C17:Y17))</f>
        <v/>
      </c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4" t="n"/>
    </row>
    <row r="18">
      <c r="A18" s="74">
        <f>IF(支払先マスタ!A18="","",支払先マスタ!A18)</f>
        <v/>
      </c>
      <c r="B18" s="76">
        <f>IF(COUNT(C18:Y18)=0,"",SUM(C18:Y18))</f>
        <v/>
      </c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4" t="n"/>
    </row>
    <row r="19">
      <c r="A19" s="74">
        <f>IF(支払先マスタ!A19="","",支払先マスタ!A19)</f>
        <v/>
      </c>
      <c r="B19" s="76">
        <f>IF(COUNT(C19:Y19)=0,"",SUM(C19:Y19))</f>
        <v/>
      </c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4" t="n"/>
    </row>
    <row r="20">
      <c r="A20" s="81">
        <f>IF(支払先マスタ!A20="","",支払先マスタ!A20)</f>
        <v/>
      </c>
      <c r="B20" s="76">
        <f>IF(COUNT(C20:Y20)=0,"",SUM(C20:Y20))</f>
        <v/>
      </c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4" t="n"/>
    </row>
    <row r="21">
      <c r="A21" s="81">
        <f>IF(支払先マスタ!A21="","",支払先マスタ!A21)</f>
        <v/>
      </c>
      <c r="B21" s="76">
        <f>IF(COUNT(C21:Y21)=0,"",SUM(C21:Y21))</f>
        <v/>
      </c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4" t="n"/>
    </row>
    <row r="22">
      <c r="A22" s="81">
        <f>IF(支払先マスタ!A22="","",支払先マスタ!A22)</f>
        <v/>
      </c>
      <c r="B22" s="76">
        <f>IF(COUNT(C22:Y22)=0,"",SUM(C22:Y22))</f>
        <v/>
      </c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4" t="n"/>
    </row>
    <row r="23">
      <c r="A23" s="81">
        <f>IF(支払先マスタ!A23="","",支払先マスタ!A23)</f>
        <v/>
      </c>
      <c r="B23" s="76">
        <f>IF(COUNT(C23:Y23)=0,"",SUM(C23:Y23))</f>
        <v/>
      </c>
      <c r="C23" s="75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4" t="n"/>
    </row>
    <row r="24">
      <c r="A24" s="74">
        <f>IF(支払先マスタ!A24="","",支払先マスタ!A24)</f>
        <v/>
      </c>
      <c r="B24" s="76">
        <f>IF(COUNT(C24:Y24)=0,"",SUM(C24:Y24))</f>
        <v/>
      </c>
      <c r="C24" s="75" t="n"/>
      <c r="D24" s="75" t="n"/>
      <c r="E24" s="75" t="n"/>
      <c r="F24" s="75" t="n">
        <v>60000</v>
      </c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4" t="n"/>
    </row>
    <row r="25">
      <c r="A25" s="74">
        <f>IF(支払先マスタ!A25="","",支払先マスタ!A25)</f>
        <v/>
      </c>
      <c r="B25" s="76">
        <f>IF(COUNT(C25:Y25)=0,"",SUM(C25:Y25))</f>
        <v/>
      </c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4" t="n"/>
    </row>
    <row r="26">
      <c r="A26" s="74">
        <f>IF(支払先マスタ!A26="","",支払先マスタ!A26)</f>
        <v/>
      </c>
      <c r="B26" s="76">
        <f>IF(COUNT(C26:Y26)=0,"",SUM(C26:Y26))</f>
        <v/>
      </c>
      <c r="C26" s="75" t="n"/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4" t="n"/>
    </row>
    <row r="27">
      <c r="A27" s="74">
        <f>IF(支払先マスタ!A27="","",支払先マスタ!A27)</f>
        <v/>
      </c>
      <c r="B27" s="76">
        <f>IF(COUNT(C27:Y27)=0,"",SUM(C27:Y27))</f>
        <v/>
      </c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4" t="n"/>
    </row>
    <row r="28">
      <c r="A28" s="74">
        <f>IF(支払先マスタ!A28="","",支払先マスタ!A28)</f>
        <v/>
      </c>
      <c r="B28" s="76">
        <f>IF(COUNT(C28:Y28)=0,"",SUM(C28:Y28))</f>
        <v/>
      </c>
      <c r="C28" s="75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4" t="n"/>
    </row>
    <row r="29">
      <c r="A29" s="81">
        <f>IF(支払先マスタ!A29="","",支払先マスタ!A29)</f>
        <v/>
      </c>
      <c r="B29" s="76">
        <f>IF(COUNT(C29:Y29)=0,"",SUM(C29:Y29))</f>
        <v/>
      </c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4" t="n"/>
    </row>
    <row r="30">
      <c r="A30" s="81">
        <f>IF(支払先マスタ!A30="","",支払先マスタ!A30)</f>
        <v/>
      </c>
      <c r="B30" s="76">
        <f>IF(COUNT(C30:Y30)=0,"",SUM(C30:Y30))</f>
        <v/>
      </c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4" t="n"/>
    </row>
    <row r="31">
      <c r="A31" s="81">
        <f>IF(支払先マスタ!A31="","",支払先マスタ!A31)</f>
        <v/>
      </c>
      <c r="B31" s="76">
        <f>IF(COUNT(C31:Y31)=0,"",SUM(C31:Y31))</f>
        <v/>
      </c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4" t="n"/>
    </row>
    <row r="32">
      <c r="A32" s="74">
        <f>IF(支払先マスタ!A32="","",支払先マスタ!A32)</f>
        <v/>
      </c>
      <c r="B32" s="76">
        <f>IF(COUNT(C32:Y32)=0,"",SUM(C32:Y32))</f>
        <v/>
      </c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4" t="n"/>
    </row>
    <row r="33">
      <c r="A33" s="81">
        <f>IF(支払先マスタ!A33="","",支払先マスタ!A33)</f>
        <v/>
      </c>
      <c r="B33" s="76">
        <f>IF(COUNT(C33:Y33)=0,"",SUM(C33:Y33))</f>
        <v/>
      </c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4" t="n"/>
    </row>
    <row r="34">
      <c r="A34" s="74">
        <f>IF(支払先マスタ!A34="","",支払先マスタ!A34)</f>
        <v/>
      </c>
      <c r="B34" s="76">
        <f>IF(COUNT(C34:Y34)=0,"",SUM(C34:Y34))</f>
        <v/>
      </c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4" t="n"/>
    </row>
    <row r="35">
      <c r="A35" s="81">
        <f>IF(支払先マスタ!A35="","",支払先マスタ!A35)</f>
        <v/>
      </c>
      <c r="B35" s="76">
        <f>IF(COUNT(C35:Y35)=0,"",SUM(C35:Y35))</f>
        <v/>
      </c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4" t="n"/>
    </row>
    <row r="36">
      <c r="A36" s="81">
        <f>IF(支払先マスタ!A36="","",支払先マスタ!A36)</f>
        <v/>
      </c>
      <c r="B36" s="76">
        <f>IF(COUNT(C36:Y36)=0,"",SUM(C36:Y36))</f>
        <v/>
      </c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4" t="n"/>
    </row>
    <row r="37">
      <c r="A37" s="81">
        <f>IF(支払先マスタ!A37="","",支払先マスタ!A37)</f>
        <v/>
      </c>
      <c r="B37" s="76">
        <f>IF(COUNT(C37:Y37)=0,"",SUM(C37:Y37))</f>
        <v/>
      </c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4" t="n"/>
    </row>
    <row r="38">
      <c r="A38" s="81">
        <f>IF(支払先マスタ!A38="","",支払先マスタ!A38)</f>
        <v/>
      </c>
      <c r="B38" s="76">
        <f>IF(COUNT(C38:Y38)=0,"",SUM(C38:Y38))</f>
        <v/>
      </c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4" t="n"/>
    </row>
    <row r="39">
      <c r="A39" s="81">
        <f>IF(支払先マスタ!A39="","",支払先マスタ!A39)</f>
        <v/>
      </c>
      <c r="B39" s="76">
        <f>IF(COUNT(C39:Y39)=0,"",SUM(C39:Y39))</f>
        <v/>
      </c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4" t="n"/>
    </row>
    <row r="40">
      <c r="A40" s="81">
        <f>IF(支払先マスタ!A40="","",支払先マスタ!A40)</f>
        <v/>
      </c>
      <c r="B40" s="76">
        <f>IF(COUNT(C40:Y40)=0,"",SUM(C40:Y40))</f>
        <v/>
      </c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4" t="n"/>
    </row>
    <row r="41">
      <c r="A41" s="74">
        <f>IF(支払先マスタ!A41="","",支払先マスタ!A41)</f>
        <v/>
      </c>
      <c r="B41" s="76">
        <f>IF(COUNT(C41:Y41)=0,"",SUM(C41:Y41))</f>
        <v/>
      </c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4" t="n"/>
    </row>
    <row r="42">
      <c r="A42" s="74">
        <f>IF(支払先マスタ!A42="","",支払先マスタ!A42)</f>
        <v/>
      </c>
      <c r="B42" s="76">
        <f>IF(COUNT(C42:Y42)=0,"",SUM(C42:Y42))</f>
        <v/>
      </c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4" t="n"/>
    </row>
    <row r="43">
      <c r="A43" s="74">
        <f>IF(支払先マスタ!A43="","",支払先マスタ!A43)</f>
        <v/>
      </c>
      <c r="B43" s="76">
        <f>IF(COUNT(C43:Y43)=0,"",SUM(C43:Y43))</f>
        <v/>
      </c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4" t="n"/>
    </row>
    <row r="44">
      <c r="A44" s="74">
        <f>IF(支払先マスタ!A44="","",支払先マスタ!A44)</f>
        <v/>
      </c>
      <c r="B44" s="76">
        <f>IF(COUNT(C44:Y44)=0,"",SUM(C44:Y44))</f>
        <v/>
      </c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4" t="n"/>
    </row>
    <row r="45">
      <c r="A45" s="74">
        <f>IF(支払先マスタ!A45="","",支払先マスタ!A45)</f>
        <v/>
      </c>
      <c r="B45" s="76">
        <f>IF(COUNT(C45:Y45)=0,"",SUM(C45:Y45))</f>
        <v/>
      </c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4" t="n"/>
    </row>
    <row r="46">
      <c r="A46" s="74">
        <f>IF(支払先マスタ!A46="","",支払先マスタ!A46)</f>
        <v/>
      </c>
      <c r="B46" s="76">
        <f>IF(COUNT(C46:Y46)=0,"",SUM(C46:Y46))</f>
        <v/>
      </c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4" t="n"/>
    </row>
    <row r="47">
      <c r="A47" s="74">
        <f>IF(支払先マスタ!A47="","",支払先マスタ!A47)</f>
        <v/>
      </c>
      <c r="B47" s="76">
        <f>IF(COUNT(C47:Y47)=0,"",SUM(C47:Y47))</f>
        <v/>
      </c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4" t="n"/>
    </row>
    <row r="48">
      <c r="A48" s="74">
        <f>IF(支払先マスタ!A48="","",支払先マスタ!A48)</f>
        <v/>
      </c>
      <c r="B48" s="76">
        <f>IF(COUNT(C48:Y48)=0,"",SUM(C48:Y48))</f>
        <v/>
      </c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4" t="n"/>
    </row>
    <row r="49">
      <c r="A49" s="74">
        <f>IF(支払先マスタ!A49="","",支払先マスタ!A49)</f>
        <v/>
      </c>
      <c r="B49" s="76">
        <f>IF(COUNT(C49:Y49)=0,"",SUM(C49:Y49))</f>
        <v/>
      </c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4" t="n"/>
    </row>
    <row r="50">
      <c r="A50" s="74">
        <f>IF(支払先マスタ!A50="","",支払先マスタ!A50)</f>
        <v/>
      </c>
      <c r="B50" s="76">
        <f>IF(COUNT(C50:Y50)=0,"",SUM(C50:Y50))</f>
        <v/>
      </c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4" t="n"/>
    </row>
    <row r="51">
      <c r="A51" s="74">
        <f>IF(支払先マスタ!A51="","",支払先マスタ!A51)</f>
        <v/>
      </c>
      <c r="B51" s="76">
        <f>IF(COUNT(C51:Y51)=0,"",SUM(C51:Y51))</f>
        <v/>
      </c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4" t="n"/>
    </row>
    <row r="52">
      <c r="A52" s="74">
        <f>IF(支払先マスタ!A52="","",支払先マスタ!A52)</f>
        <v/>
      </c>
      <c r="B52" s="76">
        <f>IF(COUNT(C52:Y52)=0,"",SUM(C52:Y52))</f>
        <v/>
      </c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4" t="n"/>
    </row>
    <row r="53">
      <c r="A53" s="74">
        <f>IF(支払先マスタ!A53="","",支払先マスタ!A53)</f>
        <v/>
      </c>
      <c r="B53" s="76">
        <f>IF(COUNT(C53:Y53)=0,"",SUM(C53:Y53))</f>
        <v/>
      </c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4" t="n"/>
    </row>
    <row r="54">
      <c r="A54" s="74">
        <f>IF(支払先マスタ!A54="","",支払先マスタ!A54)</f>
        <v/>
      </c>
      <c r="B54" s="76">
        <f>IF(COUNT(C54:Y54)=0,"",SUM(C54:Y54))</f>
        <v/>
      </c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4" t="n"/>
    </row>
    <row r="55">
      <c r="A55" s="74">
        <f>IF(支払先マスタ!A55="","",支払先マスタ!A55)</f>
        <v/>
      </c>
      <c r="B55" s="76">
        <f>IF(COUNT(C55:Y55)=0,"",SUM(C55:Y55))</f>
        <v/>
      </c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4" t="n"/>
    </row>
    <row r="56">
      <c r="A56" s="77" t="inlineStr">
        <is>
          <t>合計</t>
        </is>
      </c>
      <c r="B56" s="78">
        <f>IF(COUNT(B3:B55)=0,"",SUM(B3:B55))</f>
        <v/>
      </c>
      <c r="C56" s="78">
        <f>IF(COUNT(C3:C55)=0,"",SUM(C3:C55))</f>
        <v/>
      </c>
      <c r="D56" s="78">
        <f>IF(COUNT(D3:D55)=0,"",SUM(D3:D55))</f>
        <v/>
      </c>
      <c r="E56" s="78">
        <f>IF(COUNT(E3:E55)=0,"",SUM(E3:E55))</f>
        <v/>
      </c>
      <c r="F56" s="78">
        <f>IF(COUNT(F3:F55)=0,"",SUM(F3:F55))</f>
        <v/>
      </c>
      <c r="G56" s="78">
        <f>IF(COUNT(G3:G55)=0,"",SUM(G3:G55))</f>
        <v/>
      </c>
      <c r="H56" s="78">
        <f>IF(COUNT(H3:H55)=0,"",SUM(H3:H55))</f>
        <v/>
      </c>
      <c r="I56" s="78">
        <f>IF(COUNT(I3:I55)=0,"",SUM(I3:I55))</f>
        <v/>
      </c>
      <c r="J56" s="78">
        <f>IF(COUNT(J3:J55)=0,"",SUM(J3:J55))</f>
        <v/>
      </c>
      <c r="K56" s="78">
        <f>IF(COUNT(K3:K55)=0,"",SUM(K3:K55))</f>
        <v/>
      </c>
      <c r="L56" s="78">
        <f>IF(COUNT(L3:L55)=0,"",SUM(L3:L55))</f>
        <v/>
      </c>
      <c r="M56" s="78">
        <f>IF(COUNT(M3:M55)=0,"",SUM(M3:M55))</f>
        <v/>
      </c>
      <c r="N56" s="78">
        <f>IF(COUNT(N3:N55)=0,"",SUM(N3:N55))</f>
        <v/>
      </c>
      <c r="O56" s="78">
        <f>IF(COUNT(O3:O55)=0,"",SUM(O3:O55))</f>
        <v/>
      </c>
      <c r="P56" s="78">
        <f>IF(COUNT(P3:P55)=0,"",SUM(P3:P55))</f>
        <v/>
      </c>
      <c r="Q56" s="78">
        <f>IF(COUNT(Q3:Q55)=0,"",SUM(Q3:Q55))</f>
        <v/>
      </c>
      <c r="R56" s="78">
        <f>IF(COUNT(R3:R55)=0,"",SUM(R3:R55))</f>
        <v/>
      </c>
      <c r="S56" s="78">
        <f>IF(COUNT(S3:S55)=0,"",SUM(S3:S55))</f>
        <v/>
      </c>
      <c r="T56" s="78">
        <f>IF(COUNT(T3:T55)=0,"",SUM(T3:T55))</f>
        <v/>
      </c>
      <c r="U56" s="78">
        <f>IF(COUNT(U3:U55)=0,"",SUM(U3:U55))</f>
        <v/>
      </c>
      <c r="V56" s="78">
        <f>IF(COUNT(V3:V55)=0,"",SUM(V3:V55))</f>
        <v/>
      </c>
      <c r="W56" s="78">
        <f>IF(COUNT(W3:W55)=0,"",SUM(W3:W55))</f>
        <v/>
      </c>
      <c r="X56" s="78">
        <f>IF(COUNT(X3:X55)=0,"",SUM(X3:X55))</f>
        <v/>
      </c>
      <c r="Y56" s="78">
        <f>IF(COUNT(Y3:Y55)=0,"",SUM(Y3:Y55))</f>
        <v/>
      </c>
      <c r="Z56" s="7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26" customWidth="1" min="26" max="26"/>
  </cols>
  <sheetData>
    <row r="1">
      <c r="A1" s="72" t="inlineStr">
        <is>
          <t>202610（2026年10月）  支払先別 × 勘定科目</t>
        </is>
      </c>
      <c r="E1" s="79" t="inlineStr">
        <is>
          <t>※ 支払先の追加は「支払先マスタ」／科目の追加は「科目別集計」シートで行うと全月に反映されます</t>
        </is>
      </c>
    </row>
    <row r="2" ht="54" customHeight="1">
      <c r="A2" s="73" t="inlineStr">
        <is>
          <t>支払先</t>
        </is>
      </c>
      <c r="B2" s="73" t="inlineStr">
        <is>
          <t>合計</t>
        </is>
      </c>
      <c r="C2" s="80">
        <f>IF(科目別集計!$A3="","",科目別集計!$A3)</f>
        <v/>
      </c>
      <c r="D2" s="80">
        <f>IF(科目別集計!$A4="","",科目別集計!$A4)</f>
        <v/>
      </c>
      <c r="E2" s="80">
        <f>IF(科目別集計!$A5="","",科目別集計!$A5)</f>
        <v/>
      </c>
      <c r="F2" s="80">
        <f>IF(科目別集計!$A6="","",科目別集計!$A6)</f>
        <v/>
      </c>
      <c r="G2" s="80">
        <f>IF(科目別集計!$A7="","",科目別集計!$A7)</f>
        <v/>
      </c>
      <c r="H2" s="80">
        <f>IF(科目別集計!$A8="","",科目別集計!$A8)</f>
        <v/>
      </c>
      <c r="I2" s="80">
        <f>IF(科目別集計!$A9="","",科目別集計!$A9)</f>
        <v/>
      </c>
      <c r="J2" s="80">
        <f>IF(科目別集計!$A10="","",科目別集計!$A10)</f>
        <v/>
      </c>
      <c r="K2" s="80">
        <f>IF(科目別集計!$A11="","",科目別集計!$A11)</f>
        <v/>
      </c>
      <c r="L2" s="80">
        <f>IF(科目別集計!$A12="","",科目別集計!$A12)</f>
        <v/>
      </c>
      <c r="M2" s="80">
        <f>IF(科目別集計!$A13="","",科目別集計!$A13)</f>
        <v/>
      </c>
      <c r="N2" s="80">
        <f>IF(科目別集計!$A14="","",科目別集計!$A14)</f>
        <v/>
      </c>
      <c r="O2" s="80">
        <f>IF(科目別集計!$A15="","",科目別集計!$A15)</f>
        <v/>
      </c>
      <c r="P2" s="80">
        <f>IF(科目別集計!$A16="","",科目別集計!$A16)</f>
        <v/>
      </c>
      <c r="Q2" s="80">
        <f>IF(科目別集計!$A17="","",科目別集計!$A17)</f>
        <v/>
      </c>
      <c r="R2" s="80">
        <f>IF(科目別集計!$A18="","",科目別集計!$A18)</f>
        <v/>
      </c>
      <c r="S2" s="80">
        <f>IF(科目別集計!$A19="","",科目別集計!$A19)</f>
        <v/>
      </c>
      <c r="T2" s="80">
        <f>IF(科目別集計!$A20="","",科目別集計!$A20)</f>
        <v/>
      </c>
      <c r="U2" s="80">
        <f>IF(科目別集計!$A21="","",科目別集計!$A21)</f>
        <v/>
      </c>
      <c r="V2" s="80">
        <f>IF(科目別集計!$A22="","",科目別集計!$A22)</f>
        <v/>
      </c>
      <c r="W2" s="80">
        <f>IF(科目別集計!$A23="","",科目別集計!$A23)</f>
        <v/>
      </c>
      <c r="X2" s="80">
        <f>IF(科目別集計!$A24="","",科目別集計!$A24)</f>
        <v/>
      </c>
      <c r="Y2" s="80">
        <f>IF(科目別集計!$A25="","",科目別集計!$A25)</f>
        <v/>
      </c>
      <c r="Z2" s="73" t="inlineStr">
        <is>
          <t>備考</t>
        </is>
      </c>
    </row>
    <row r="3">
      <c r="A3" s="81">
        <f>IF(支払先マスタ!A3="","",支払先マスタ!A3)</f>
        <v/>
      </c>
      <c r="B3" s="76">
        <f>IF(COUNT(C3:Y3)=0,"",SUM(C3:Y3))</f>
        <v/>
      </c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4" t="n"/>
    </row>
    <row r="4">
      <c r="A4" s="81">
        <f>IF(支払先マスタ!A4="","",支払先マスタ!A4)</f>
        <v/>
      </c>
      <c r="B4" s="76">
        <f>IF(COUNT(C4:Y4)=0,"",SUM(C4:Y4))</f>
        <v/>
      </c>
      <c r="C4" s="75" t="n"/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4" t="n"/>
    </row>
    <row r="5">
      <c r="A5" s="81">
        <f>IF(支払先マスタ!A5="","",支払先マスタ!A5)</f>
        <v/>
      </c>
      <c r="B5" s="76">
        <f>IF(COUNT(C5:Y5)=0,"",SUM(C5:Y5))</f>
        <v/>
      </c>
      <c r="C5" s="75" t="n"/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4" t="n"/>
    </row>
    <row r="6">
      <c r="A6" s="81">
        <f>IF(支払先マスタ!A6="","",支払先マスタ!A6)</f>
        <v/>
      </c>
      <c r="B6" s="76">
        <f>IF(COUNT(C6:Y6)=0,"",SUM(C6:Y6))</f>
        <v/>
      </c>
      <c r="C6" s="75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4" t="n"/>
    </row>
    <row r="7">
      <c r="A7" s="81">
        <f>IF(支払先マスタ!A7="","",支払先マスタ!A7)</f>
        <v/>
      </c>
      <c r="B7" s="76">
        <f>IF(COUNT(C7:Y7)=0,"",SUM(C7:Y7))</f>
        <v/>
      </c>
      <c r="C7" s="75" t="n"/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4" t="n"/>
    </row>
    <row r="8">
      <c r="A8" s="81">
        <f>IF(支払先マスタ!A8="","",支払先マスタ!A8)</f>
        <v/>
      </c>
      <c r="B8" s="76">
        <f>IF(COUNT(C8:Y8)=0,"",SUM(C8:Y8))</f>
        <v/>
      </c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4" t="n"/>
    </row>
    <row r="9">
      <c r="A9" s="81">
        <f>IF(支払先マスタ!A9="","",支払先マスタ!A9)</f>
        <v/>
      </c>
      <c r="B9" s="76">
        <f>IF(COUNT(C9:Y9)=0,"",SUM(C9:Y9))</f>
        <v/>
      </c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4" t="n"/>
    </row>
    <row r="10">
      <c r="A10" s="81">
        <f>IF(支払先マスタ!A10="","",支払先マスタ!A10)</f>
        <v/>
      </c>
      <c r="B10" s="76">
        <f>IF(COUNT(C10:Y10)=0,"",SUM(C10:Y10))</f>
        <v/>
      </c>
      <c r="C10" s="75" t="n"/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4" t="n"/>
    </row>
    <row r="11">
      <c r="A11" s="81">
        <f>IF(支払先マスタ!A11="","",支払先マスタ!A11)</f>
        <v/>
      </c>
      <c r="B11" s="76">
        <f>IF(COUNT(C11:Y11)=0,"",SUM(C11:Y11))</f>
        <v/>
      </c>
      <c r="C11" s="75" t="n"/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4" t="n"/>
    </row>
    <row r="12">
      <c r="A12" s="81">
        <f>IF(支払先マスタ!A12="","",支払先マスタ!A12)</f>
        <v/>
      </c>
      <c r="B12" s="76">
        <f>IF(COUNT(C12:Y12)=0,"",SUM(C12:Y12))</f>
        <v/>
      </c>
      <c r="C12" s="75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4" t="n"/>
    </row>
    <row r="13">
      <c r="A13" s="81">
        <f>IF(支払先マスタ!A13="","",支払先マスタ!A13)</f>
        <v/>
      </c>
      <c r="B13" s="76">
        <f>IF(COUNT(C13:Y13)=0,"",SUM(C13:Y13))</f>
        <v/>
      </c>
      <c r="C13" s="75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4" t="n"/>
    </row>
    <row r="14">
      <c r="A14" s="81">
        <f>IF(支払先マスタ!A14="","",支払先マスタ!A14)</f>
        <v/>
      </c>
      <c r="B14" s="76">
        <f>IF(COUNT(C14:Y14)=0,"",SUM(C14:Y14))</f>
        <v/>
      </c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4" t="n"/>
    </row>
    <row r="15">
      <c r="A15" s="74">
        <f>IF(支払先マスタ!A15="","",支払先マスタ!A15)</f>
        <v/>
      </c>
      <c r="B15" s="76">
        <f>IF(COUNT(C15:Y15)=0,"",SUM(C15:Y15))</f>
        <v/>
      </c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4" t="n"/>
    </row>
    <row r="16">
      <c r="A16" s="74">
        <f>IF(支払先マスタ!A16="","",支払先マスタ!A16)</f>
        <v/>
      </c>
      <c r="B16" s="76">
        <f>IF(COUNT(C16:Y16)=0,"",SUM(C16:Y16))</f>
        <v/>
      </c>
      <c r="C16" s="75" t="n"/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4" t="n"/>
    </row>
    <row r="17">
      <c r="A17" s="74">
        <f>IF(支払先マスタ!A17="","",支払先マスタ!A17)</f>
        <v/>
      </c>
      <c r="B17" s="76">
        <f>IF(COUNT(C17:Y17)=0,"",SUM(C17:Y17))</f>
        <v/>
      </c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4" t="n"/>
    </row>
    <row r="18">
      <c r="A18" s="74">
        <f>IF(支払先マスタ!A18="","",支払先マスタ!A18)</f>
        <v/>
      </c>
      <c r="B18" s="76">
        <f>IF(COUNT(C18:Y18)=0,"",SUM(C18:Y18))</f>
        <v/>
      </c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4" t="n"/>
    </row>
    <row r="19">
      <c r="A19" s="74">
        <f>IF(支払先マスタ!A19="","",支払先マスタ!A19)</f>
        <v/>
      </c>
      <c r="B19" s="76">
        <f>IF(COUNT(C19:Y19)=0,"",SUM(C19:Y19))</f>
        <v/>
      </c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4" t="n"/>
    </row>
    <row r="20">
      <c r="A20" s="81">
        <f>IF(支払先マスタ!A20="","",支払先マスタ!A20)</f>
        <v/>
      </c>
      <c r="B20" s="76">
        <f>IF(COUNT(C20:Y20)=0,"",SUM(C20:Y20))</f>
        <v/>
      </c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4" t="n"/>
    </row>
    <row r="21">
      <c r="A21" s="81">
        <f>IF(支払先マスタ!A21="","",支払先マスタ!A21)</f>
        <v/>
      </c>
      <c r="B21" s="76">
        <f>IF(COUNT(C21:Y21)=0,"",SUM(C21:Y21))</f>
        <v/>
      </c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4" t="n"/>
    </row>
    <row r="22">
      <c r="A22" s="81">
        <f>IF(支払先マスタ!A22="","",支払先マスタ!A22)</f>
        <v/>
      </c>
      <c r="B22" s="76">
        <f>IF(COUNT(C22:Y22)=0,"",SUM(C22:Y22))</f>
        <v/>
      </c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4" t="n"/>
    </row>
    <row r="23">
      <c r="A23" s="81">
        <f>IF(支払先マスタ!A23="","",支払先マスタ!A23)</f>
        <v/>
      </c>
      <c r="B23" s="76">
        <f>IF(COUNT(C23:Y23)=0,"",SUM(C23:Y23))</f>
        <v/>
      </c>
      <c r="C23" s="75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4" t="n"/>
    </row>
    <row r="24">
      <c r="A24" s="74">
        <f>IF(支払先マスタ!A24="","",支払先マスタ!A24)</f>
        <v/>
      </c>
      <c r="B24" s="76">
        <f>IF(COUNT(C24:Y24)=0,"",SUM(C24:Y24))</f>
        <v/>
      </c>
      <c r="C24" s="75" t="n"/>
      <c r="D24" s="75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4" t="n"/>
    </row>
    <row r="25">
      <c r="A25" s="74">
        <f>IF(支払先マスタ!A25="","",支払先マスタ!A25)</f>
        <v/>
      </c>
      <c r="B25" s="76">
        <f>IF(COUNT(C25:Y25)=0,"",SUM(C25:Y25))</f>
        <v/>
      </c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4" t="n"/>
    </row>
    <row r="26">
      <c r="A26" s="74">
        <f>IF(支払先マスタ!A26="","",支払先マスタ!A26)</f>
        <v/>
      </c>
      <c r="B26" s="76">
        <f>IF(COUNT(C26:Y26)=0,"",SUM(C26:Y26))</f>
        <v/>
      </c>
      <c r="C26" s="75" t="n"/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4" t="n"/>
    </row>
    <row r="27">
      <c r="A27" s="74">
        <f>IF(支払先マスタ!A27="","",支払先マスタ!A27)</f>
        <v/>
      </c>
      <c r="B27" s="76">
        <f>IF(COUNT(C27:Y27)=0,"",SUM(C27:Y27))</f>
        <v/>
      </c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4" t="n"/>
    </row>
    <row r="28">
      <c r="A28" s="74">
        <f>IF(支払先マスタ!A28="","",支払先マスタ!A28)</f>
        <v/>
      </c>
      <c r="B28" s="76">
        <f>IF(COUNT(C28:Y28)=0,"",SUM(C28:Y28))</f>
        <v/>
      </c>
      <c r="C28" s="75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4" t="n"/>
    </row>
    <row r="29">
      <c r="A29" s="81">
        <f>IF(支払先マスタ!A29="","",支払先マスタ!A29)</f>
        <v/>
      </c>
      <c r="B29" s="76">
        <f>IF(COUNT(C29:Y29)=0,"",SUM(C29:Y29))</f>
        <v/>
      </c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4" t="n"/>
    </row>
    <row r="30">
      <c r="A30" s="81">
        <f>IF(支払先マスタ!A30="","",支払先マスタ!A30)</f>
        <v/>
      </c>
      <c r="B30" s="76">
        <f>IF(COUNT(C30:Y30)=0,"",SUM(C30:Y30))</f>
        <v/>
      </c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4" t="n"/>
    </row>
    <row r="31">
      <c r="A31" s="81">
        <f>IF(支払先マスタ!A31="","",支払先マスタ!A31)</f>
        <v/>
      </c>
      <c r="B31" s="76">
        <f>IF(COUNT(C31:Y31)=0,"",SUM(C31:Y31))</f>
        <v/>
      </c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4" t="n"/>
    </row>
    <row r="32">
      <c r="A32" s="74">
        <f>IF(支払先マスタ!A32="","",支払先マスタ!A32)</f>
        <v/>
      </c>
      <c r="B32" s="76">
        <f>IF(COUNT(C32:Y32)=0,"",SUM(C32:Y32))</f>
        <v/>
      </c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4" t="n"/>
    </row>
    <row r="33">
      <c r="A33" s="81">
        <f>IF(支払先マスタ!A33="","",支払先マスタ!A33)</f>
        <v/>
      </c>
      <c r="B33" s="76">
        <f>IF(COUNT(C33:Y33)=0,"",SUM(C33:Y33))</f>
        <v/>
      </c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4" t="n"/>
    </row>
    <row r="34">
      <c r="A34" s="74">
        <f>IF(支払先マスタ!A34="","",支払先マスタ!A34)</f>
        <v/>
      </c>
      <c r="B34" s="76">
        <f>IF(COUNT(C34:Y34)=0,"",SUM(C34:Y34))</f>
        <v/>
      </c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4" t="n"/>
    </row>
    <row r="35">
      <c r="A35" s="81">
        <f>IF(支払先マスタ!A35="","",支払先マスタ!A35)</f>
        <v/>
      </c>
      <c r="B35" s="76">
        <f>IF(COUNT(C35:Y35)=0,"",SUM(C35:Y35))</f>
        <v/>
      </c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4" t="n"/>
    </row>
    <row r="36">
      <c r="A36" s="81">
        <f>IF(支払先マスタ!A36="","",支払先マスタ!A36)</f>
        <v/>
      </c>
      <c r="B36" s="76">
        <f>IF(COUNT(C36:Y36)=0,"",SUM(C36:Y36))</f>
        <v/>
      </c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4" t="n"/>
    </row>
    <row r="37">
      <c r="A37" s="81">
        <f>IF(支払先マスタ!A37="","",支払先マスタ!A37)</f>
        <v/>
      </c>
      <c r="B37" s="76">
        <f>IF(COUNT(C37:Y37)=0,"",SUM(C37:Y37))</f>
        <v/>
      </c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4" t="n"/>
    </row>
    <row r="38">
      <c r="A38" s="81">
        <f>IF(支払先マスタ!A38="","",支払先マスタ!A38)</f>
        <v/>
      </c>
      <c r="B38" s="76">
        <f>IF(COUNT(C38:Y38)=0,"",SUM(C38:Y38))</f>
        <v/>
      </c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4" t="n"/>
    </row>
    <row r="39">
      <c r="A39" s="81">
        <f>IF(支払先マスタ!A39="","",支払先マスタ!A39)</f>
        <v/>
      </c>
      <c r="B39" s="76">
        <f>IF(COUNT(C39:Y39)=0,"",SUM(C39:Y39))</f>
        <v/>
      </c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4" t="n"/>
    </row>
    <row r="40">
      <c r="A40" s="81">
        <f>IF(支払先マスタ!A40="","",支払先マスタ!A40)</f>
        <v/>
      </c>
      <c r="B40" s="76">
        <f>IF(COUNT(C40:Y40)=0,"",SUM(C40:Y40))</f>
        <v/>
      </c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4" t="n"/>
    </row>
    <row r="41">
      <c r="A41" s="74">
        <f>IF(支払先マスタ!A41="","",支払先マスタ!A41)</f>
        <v/>
      </c>
      <c r="B41" s="76">
        <f>IF(COUNT(C41:Y41)=0,"",SUM(C41:Y41))</f>
        <v/>
      </c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4" t="n"/>
    </row>
    <row r="42">
      <c r="A42" s="74">
        <f>IF(支払先マスタ!A42="","",支払先マスタ!A42)</f>
        <v/>
      </c>
      <c r="B42" s="76">
        <f>IF(COUNT(C42:Y42)=0,"",SUM(C42:Y42))</f>
        <v/>
      </c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4" t="n"/>
    </row>
    <row r="43">
      <c r="A43" s="74">
        <f>IF(支払先マスタ!A43="","",支払先マスタ!A43)</f>
        <v/>
      </c>
      <c r="B43" s="76">
        <f>IF(COUNT(C43:Y43)=0,"",SUM(C43:Y43))</f>
        <v/>
      </c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4" t="n"/>
    </row>
    <row r="44">
      <c r="A44" s="74">
        <f>IF(支払先マスタ!A44="","",支払先マスタ!A44)</f>
        <v/>
      </c>
      <c r="B44" s="76">
        <f>IF(COUNT(C44:Y44)=0,"",SUM(C44:Y44))</f>
        <v/>
      </c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4" t="n"/>
    </row>
    <row r="45">
      <c r="A45" s="74">
        <f>IF(支払先マスタ!A45="","",支払先マスタ!A45)</f>
        <v/>
      </c>
      <c r="B45" s="76">
        <f>IF(COUNT(C45:Y45)=0,"",SUM(C45:Y45))</f>
        <v/>
      </c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4" t="n"/>
    </row>
    <row r="46">
      <c r="A46" s="74">
        <f>IF(支払先マスタ!A46="","",支払先マスタ!A46)</f>
        <v/>
      </c>
      <c r="B46" s="76">
        <f>IF(COUNT(C46:Y46)=0,"",SUM(C46:Y46))</f>
        <v/>
      </c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4" t="n"/>
    </row>
    <row r="47">
      <c r="A47" s="74">
        <f>IF(支払先マスタ!A47="","",支払先マスタ!A47)</f>
        <v/>
      </c>
      <c r="B47" s="76">
        <f>IF(COUNT(C47:Y47)=0,"",SUM(C47:Y47))</f>
        <v/>
      </c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4" t="n"/>
    </row>
    <row r="48">
      <c r="A48" s="74">
        <f>IF(支払先マスタ!A48="","",支払先マスタ!A48)</f>
        <v/>
      </c>
      <c r="B48" s="76">
        <f>IF(COUNT(C48:Y48)=0,"",SUM(C48:Y48))</f>
        <v/>
      </c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4" t="n"/>
    </row>
    <row r="49">
      <c r="A49" s="74">
        <f>IF(支払先マスタ!A49="","",支払先マスタ!A49)</f>
        <v/>
      </c>
      <c r="B49" s="76">
        <f>IF(COUNT(C49:Y49)=0,"",SUM(C49:Y49))</f>
        <v/>
      </c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4" t="n"/>
    </row>
    <row r="50">
      <c r="A50" s="74">
        <f>IF(支払先マスタ!A50="","",支払先マスタ!A50)</f>
        <v/>
      </c>
      <c r="B50" s="76">
        <f>IF(COUNT(C50:Y50)=0,"",SUM(C50:Y50))</f>
        <v/>
      </c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4" t="n"/>
    </row>
    <row r="51">
      <c r="A51" s="74">
        <f>IF(支払先マスタ!A51="","",支払先マスタ!A51)</f>
        <v/>
      </c>
      <c r="B51" s="76">
        <f>IF(COUNT(C51:Y51)=0,"",SUM(C51:Y51))</f>
        <v/>
      </c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4" t="n"/>
    </row>
    <row r="52">
      <c r="A52" s="74">
        <f>IF(支払先マスタ!A52="","",支払先マスタ!A52)</f>
        <v/>
      </c>
      <c r="B52" s="76">
        <f>IF(COUNT(C52:Y52)=0,"",SUM(C52:Y52))</f>
        <v/>
      </c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4" t="n"/>
    </row>
    <row r="53">
      <c r="A53" s="74">
        <f>IF(支払先マスタ!A53="","",支払先マスタ!A53)</f>
        <v/>
      </c>
      <c r="B53" s="76">
        <f>IF(COUNT(C53:Y53)=0,"",SUM(C53:Y53))</f>
        <v/>
      </c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4" t="n"/>
    </row>
    <row r="54">
      <c r="A54" s="74">
        <f>IF(支払先マスタ!A54="","",支払先マスタ!A54)</f>
        <v/>
      </c>
      <c r="B54" s="76">
        <f>IF(COUNT(C54:Y54)=0,"",SUM(C54:Y54))</f>
        <v/>
      </c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4" t="n"/>
    </row>
    <row r="55">
      <c r="A55" s="74">
        <f>IF(支払先マスタ!A55="","",支払先マスタ!A55)</f>
        <v/>
      </c>
      <c r="B55" s="76">
        <f>IF(COUNT(C55:Y55)=0,"",SUM(C55:Y55))</f>
        <v/>
      </c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4" t="n"/>
    </row>
    <row r="56">
      <c r="A56" s="77" t="inlineStr">
        <is>
          <t>合計</t>
        </is>
      </c>
      <c r="B56" s="78">
        <f>IF(COUNT(B3:B55)=0,"",SUM(B3:B55))</f>
        <v/>
      </c>
      <c r="C56" s="78">
        <f>IF(COUNT(C3:C55)=0,"",SUM(C3:C55))</f>
        <v/>
      </c>
      <c r="D56" s="78">
        <f>IF(COUNT(D3:D55)=0,"",SUM(D3:D55))</f>
        <v/>
      </c>
      <c r="E56" s="78">
        <f>IF(COUNT(E3:E55)=0,"",SUM(E3:E55))</f>
        <v/>
      </c>
      <c r="F56" s="78">
        <f>IF(COUNT(F3:F55)=0,"",SUM(F3:F55))</f>
        <v/>
      </c>
      <c r="G56" s="78">
        <f>IF(COUNT(G3:G55)=0,"",SUM(G3:G55))</f>
        <v/>
      </c>
      <c r="H56" s="78">
        <f>IF(COUNT(H3:H55)=0,"",SUM(H3:H55))</f>
        <v/>
      </c>
      <c r="I56" s="78">
        <f>IF(COUNT(I3:I55)=0,"",SUM(I3:I55))</f>
        <v/>
      </c>
      <c r="J56" s="78">
        <f>IF(COUNT(J3:J55)=0,"",SUM(J3:J55))</f>
        <v/>
      </c>
      <c r="K56" s="78">
        <f>IF(COUNT(K3:K55)=0,"",SUM(K3:K55))</f>
        <v/>
      </c>
      <c r="L56" s="78">
        <f>IF(COUNT(L3:L55)=0,"",SUM(L3:L55))</f>
        <v/>
      </c>
      <c r="M56" s="78">
        <f>IF(COUNT(M3:M55)=0,"",SUM(M3:M55))</f>
        <v/>
      </c>
      <c r="N56" s="78">
        <f>IF(COUNT(N3:N55)=0,"",SUM(N3:N55))</f>
        <v/>
      </c>
      <c r="O56" s="78">
        <f>IF(COUNT(O3:O55)=0,"",SUM(O3:O55))</f>
        <v/>
      </c>
      <c r="P56" s="78">
        <f>IF(COUNT(P3:P55)=0,"",SUM(P3:P55))</f>
        <v/>
      </c>
      <c r="Q56" s="78">
        <f>IF(COUNT(Q3:Q55)=0,"",SUM(Q3:Q55))</f>
        <v/>
      </c>
      <c r="R56" s="78">
        <f>IF(COUNT(R3:R55)=0,"",SUM(R3:R55))</f>
        <v/>
      </c>
      <c r="S56" s="78">
        <f>IF(COUNT(S3:S55)=0,"",SUM(S3:S55))</f>
        <v/>
      </c>
      <c r="T56" s="78">
        <f>IF(COUNT(T3:T55)=0,"",SUM(T3:T55))</f>
        <v/>
      </c>
      <c r="U56" s="78">
        <f>IF(COUNT(U3:U55)=0,"",SUM(U3:U55))</f>
        <v/>
      </c>
      <c r="V56" s="78">
        <f>IF(COUNT(V3:V55)=0,"",SUM(V3:V55))</f>
        <v/>
      </c>
      <c r="W56" s="78">
        <f>IF(COUNT(W3:W55)=0,"",SUM(W3:W55))</f>
        <v/>
      </c>
      <c r="X56" s="78">
        <f>IF(COUNT(X3:X55)=0,"",SUM(X3:X55))</f>
        <v/>
      </c>
      <c r="Y56" s="78">
        <f>IF(COUNT(Y3:Y55)=0,"",SUM(Y3:Y55))</f>
        <v/>
      </c>
      <c r="Z56" s="7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26" customWidth="1" min="26" max="26"/>
  </cols>
  <sheetData>
    <row r="1">
      <c r="A1" s="72" t="inlineStr">
        <is>
          <t>202611（2026年11月）  支払先別 × 勘定科目</t>
        </is>
      </c>
      <c r="E1" s="79" t="inlineStr">
        <is>
          <t>※ 支払先の追加は「支払先マスタ」／科目の追加は「科目別集計」シートで行うと全月に反映されます</t>
        </is>
      </c>
    </row>
    <row r="2" ht="54" customHeight="1">
      <c r="A2" s="73" t="inlineStr">
        <is>
          <t>支払先</t>
        </is>
      </c>
      <c r="B2" s="73" t="inlineStr">
        <is>
          <t>合計</t>
        </is>
      </c>
      <c r="C2" s="80">
        <f>IF(科目別集計!$A3="","",科目別集計!$A3)</f>
        <v/>
      </c>
      <c r="D2" s="80">
        <f>IF(科目別集計!$A4="","",科目別集計!$A4)</f>
        <v/>
      </c>
      <c r="E2" s="80">
        <f>IF(科目別集計!$A5="","",科目別集計!$A5)</f>
        <v/>
      </c>
      <c r="F2" s="80">
        <f>IF(科目別集計!$A6="","",科目別集計!$A6)</f>
        <v/>
      </c>
      <c r="G2" s="80">
        <f>IF(科目別集計!$A7="","",科目別集計!$A7)</f>
        <v/>
      </c>
      <c r="H2" s="80">
        <f>IF(科目別集計!$A8="","",科目別集計!$A8)</f>
        <v/>
      </c>
      <c r="I2" s="80">
        <f>IF(科目別集計!$A9="","",科目別集計!$A9)</f>
        <v/>
      </c>
      <c r="J2" s="80">
        <f>IF(科目別集計!$A10="","",科目別集計!$A10)</f>
        <v/>
      </c>
      <c r="K2" s="80">
        <f>IF(科目別集計!$A11="","",科目別集計!$A11)</f>
        <v/>
      </c>
      <c r="L2" s="80">
        <f>IF(科目別集計!$A12="","",科目別集計!$A12)</f>
        <v/>
      </c>
      <c r="M2" s="80">
        <f>IF(科目別集計!$A13="","",科目別集計!$A13)</f>
        <v/>
      </c>
      <c r="N2" s="80">
        <f>IF(科目別集計!$A14="","",科目別集計!$A14)</f>
        <v/>
      </c>
      <c r="O2" s="80">
        <f>IF(科目別集計!$A15="","",科目別集計!$A15)</f>
        <v/>
      </c>
      <c r="P2" s="80">
        <f>IF(科目別集計!$A16="","",科目別集計!$A16)</f>
        <v/>
      </c>
      <c r="Q2" s="80">
        <f>IF(科目別集計!$A17="","",科目別集計!$A17)</f>
        <v/>
      </c>
      <c r="R2" s="80">
        <f>IF(科目別集計!$A18="","",科目別集計!$A18)</f>
        <v/>
      </c>
      <c r="S2" s="80">
        <f>IF(科目別集計!$A19="","",科目別集計!$A19)</f>
        <v/>
      </c>
      <c r="T2" s="80">
        <f>IF(科目別集計!$A20="","",科目別集計!$A20)</f>
        <v/>
      </c>
      <c r="U2" s="80">
        <f>IF(科目別集計!$A21="","",科目別集計!$A21)</f>
        <v/>
      </c>
      <c r="V2" s="80">
        <f>IF(科目別集計!$A22="","",科目別集計!$A22)</f>
        <v/>
      </c>
      <c r="W2" s="80">
        <f>IF(科目別集計!$A23="","",科目別集計!$A23)</f>
        <v/>
      </c>
      <c r="X2" s="80">
        <f>IF(科目別集計!$A24="","",科目別集計!$A24)</f>
        <v/>
      </c>
      <c r="Y2" s="80">
        <f>IF(科目別集計!$A25="","",科目別集計!$A25)</f>
        <v/>
      </c>
      <c r="Z2" s="73" t="inlineStr">
        <is>
          <t>備考</t>
        </is>
      </c>
    </row>
    <row r="3">
      <c r="A3" s="81">
        <f>IF(支払先マスタ!A3="","",支払先マスタ!A3)</f>
        <v/>
      </c>
      <c r="B3" s="76">
        <f>IF(COUNT(C3:Y3)=0,"",SUM(C3:Y3))</f>
        <v/>
      </c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4" t="n"/>
    </row>
    <row r="4">
      <c r="A4" s="81">
        <f>IF(支払先マスタ!A4="","",支払先マスタ!A4)</f>
        <v/>
      </c>
      <c r="B4" s="76">
        <f>IF(COUNT(C4:Y4)=0,"",SUM(C4:Y4))</f>
        <v/>
      </c>
      <c r="C4" s="75" t="n"/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4" t="n"/>
    </row>
    <row r="5">
      <c r="A5" s="81">
        <f>IF(支払先マスタ!A5="","",支払先マスタ!A5)</f>
        <v/>
      </c>
      <c r="B5" s="76">
        <f>IF(COUNT(C5:Y5)=0,"",SUM(C5:Y5))</f>
        <v/>
      </c>
      <c r="C5" s="75" t="n"/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4" t="n"/>
    </row>
    <row r="6">
      <c r="A6" s="81">
        <f>IF(支払先マスタ!A6="","",支払先マスタ!A6)</f>
        <v/>
      </c>
      <c r="B6" s="76">
        <f>IF(COUNT(C6:Y6)=0,"",SUM(C6:Y6))</f>
        <v/>
      </c>
      <c r="C6" s="75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4" t="n"/>
    </row>
    <row r="7">
      <c r="A7" s="81">
        <f>IF(支払先マスタ!A7="","",支払先マスタ!A7)</f>
        <v/>
      </c>
      <c r="B7" s="76">
        <f>IF(COUNT(C7:Y7)=0,"",SUM(C7:Y7))</f>
        <v/>
      </c>
      <c r="C7" s="75" t="n"/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4" t="n"/>
    </row>
    <row r="8">
      <c r="A8" s="81">
        <f>IF(支払先マスタ!A8="","",支払先マスタ!A8)</f>
        <v/>
      </c>
      <c r="B8" s="76">
        <f>IF(COUNT(C8:Y8)=0,"",SUM(C8:Y8))</f>
        <v/>
      </c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4" t="n"/>
    </row>
    <row r="9">
      <c r="A9" s="81">
        <f>IF(支払先マスタ!A9="","",支払先マスタ!A9)</f>
        <v/>
      </c>
      <c r="B9" s="76">
        <f>IF(COUNT(C9:Y9)=0,"",SUM(C9:Y9))</f>
        <v/>
      </c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4" t="n"/>
    </row>
    <row r="10">
      <c r="A10" s="81">
        <f>IF(支払先マスタ!A10="","",支払先マスタ!A10)</f>
        <v/>
      </c>
      <c r="B10" s="76">
        <f>IF(COUNT(C10:Y10)=0,"",SUM(C10:Y10))</f>
        <v/>
      </c>
      <c r="C10" s="75" t="n"/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4" t="n"/>
    </row>
    <row r="11">
      <c r="A11" s="81">
        <f>IF(支払先マスタ!A11="","",支払先マスタ!A11)</f>
        <v/>
      </c>
      <c r="B11" s="76">
        <f>IF(COUNT(C11:Y11)=0,"",SUM(C11:Y11))</f>
        <v/>
      </c>
      <c r="C11" s="75" t="n"/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4" t="n"/>
    </row>
    <row r="12">
      <c r="A12" s="81">
        <f>IF(支払先マスタ!A12="","",支払先マスタ!A12)</f>
        <v/>
      </c>
      <c r="B12" s="76">
        <f>IF(COUNT(C12:Y12)=0,"",SUM(C12:Y12))</f>
        <v/>
      </c>
      <c r="C12" s="75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4" t="n"/>
    </row>
    <row r="13">
      <c r="A13" s="81">
        <f>IF(支払先マスタ!A13="","",支払先マスタ!A13)</f>
        <v/>
      </c>
      <c r="B13" s="76">
        <f>IF(COUNT(C13:Y13)=0,"",SUM(C13:Y13))</f>
        <v/>
      </c>
      <c r="C13" s="75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4" t="n"/>
    </row>
    <row r="14">
      <c r="A14" s="81">
        <f>IF(支払先マスタ!A14="","",支払先マスタ!A14)</f>
        <v/>
      </c>
      <c r="B14" s="76">
        <f>IF(COUNT(C14:Y14)=0,"",SUM(C14:Y14))</f>
        <v/>
      </c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4" t="n"/>
    </row>
    <row r="15">
      <c r="A15" s="74">
        <f>IF(支払先マスタ!A15="","",支払先マスタ!A15)</f>
        <v/>
      </c>
      <c r="B15" s="76">
        <f>IF(COUNT(C15:Y15)=0,"",SUM(C15:Y15))</f>
        <v/>
      </c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4" t="n"/>
    </row>
    <row r="16">
      <c r="A16" s="74">
        <f>IF(支払先マスタ!A16="","",支払先マスタ!A16)</f>
        <v/>
      </c>
      <c r="B16" s="76">
        <f>IF(COUNT(C16:Y16)=0,"",SUM(C16:Y16))</f>
        <v/>
      </c>
      <c r="C16" s="75" t="n"/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4" t="n"/>
    </row>
    <row r="17">
      <c r="A17" s="74">
        <f>IF(支払先マスタ!A17="","",支払先マスタ!A17)</f>
        <v/>
      </c>
      <c r="B17" s="76">
        <f>IF(COUNT(C17:Y17)=0,"",SUM(C17:Y17))</f>
        <v/>
      </c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4" t="n"/>
    </row>
    <row r="18">
      <c r="A18" s="74">
        <f>IF(支払先マスタ!A18="","",支払先マスタ!A18)</f>
        <v/>
      </c>
      <c r="B18" s="76">
        <f>IF(COUNT(C18:Y18)=0,"",SUM(C18:Y18))</f>
        <v/>
      </c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4" t="n"/>
    </row>
    <row r="19">
      <c r="A19" s="74">
        <f>IF(支払先マスタ!A19="","",支払先マスタ!A19)</f>
        <v/>
      </c>
      <c r="B19" s="76">
        <f>IF(COUNT(C19:Y19)=0,"",SUM(C19:Y19))</f>
        <v/>
      </c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4" t="n"/>
    </row>
    <row r="20">
      <c r="A20" s="81">
        <f>IF(支払先マスタ!A20="","",支払先マスタ!A20)</f>
        <v/>
      </c>
      <c r="B20" s="76">
        <f>IF(COUNT(C20:Y20)=0,"",SUM(C20:Y20))</f>
        <v/>
      </c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4" t="n"/>
    </row>
    <row r="21">
      <c r="A21" s="81">
        <f>IF(支払先マスタ!A21="","",支払先マスタ!A21)</f>
        <v/>
      </c>
      <c r="B21" s="76">
        <f>IF(COUNT(C21:Y21)=0,"",SUM(C21:Y21))</f>
        <v/>
      </c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4" t="n"/>
    </row>
    <row r="22">
      <c r="A22" s="81">
        <f>IF(支払先マスタ!A22="","",支払先マスタ!A22)</f>
        <v/>
      </c>
      <c r="B22" s="76">
        <f>IF(COUNT(C22:Y22)=0,"",SUM(C22:Y22))</f>
        <v/>
      </c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4" t="n"/>
    </row>
    <row r="23">
      <c r="A23" s="81">
        <f>IF(支払先マスタ!A23="","",支払先マスタ!A23)</f>
        <v/>
      </c>
      <c r="B23" s="76">
        <f>IF(COUNT(C23:Y23)=0,"",SUM(C23:Y23))</f>
        <v/>
      </c>
      <c r="C23" s="75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4" t="n"/>
    </row>
    <row r="24">
      <c r="A24" s="74">
        <f>IF(支払先マスタ!A24="","",支払先マスタ!A24)</f>
        <v/>
      </c>
      <c r="B24" s="76">
        <f>IF(COUNT(C24:Y24)=0,"",SUM(C24:Y24))</f>
        <v/>
      </c>
      <c r="C24" s="75" t="n"/>
      <c r="D24" s="75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4" t="n"/>
    </row>
    <row r="25">
      <c r="A25" s="74">
        <f>IF(支払先マスタ!A25="","",支払先マスタ!A25)</f>
        <v/>
      </c>
      <c r="B25" s="76">
        <f>IF(COUNT(C25:Y25)=0,"",SUM(C25:Y25))</f>
        <v/>
      </c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4" t="n"/>
    </row>
    <row r="26">
      <c r="A26" s="74">
        <f>IF(支払先マスタ!A26="","",支払先マスタ!A26)</f>
        <v/>
      </c>
      <c r="B26" s="76">
        <f>IF(COUNT(C26:Y26)=0,"",SUM(C26:Y26))</f>
        <v/>
      </c>
      <c r="C26" s="75" t="n"/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4" t="n"/>
    </row>
    <row r="27">
      <c r="A27" s="74">
        <f>IF(支払先マスタ!A27="","",支払先マスタ!A27)</f>
        <v/>
      </c>
      <c r="B27" s="76">
        <f>IF(COUNT(C27:Y27)=0,"",SUM(C27:Y27))</f>
        <v/>
      </c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4" t="n"/>
    </row>
    <row r="28">
      <c r="A28" s="74">
        <f>IF(支払先マスタ!A28="","",支払先マスタ!A28)</f>
        <v/>
      </c>
      <c r="B28" s="76">
        <f>IF(COUNT(C28:Y28)=0,"",SUM(C28:Y28))</f>
        <v/>
      </c>
      <c r="C28" s="75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4" t="n"/>
    </row>
    <row r="29">
      <c r="A29" s="81">
        <f>IF(支払先マスタ!A29="","",支払先マスタ!A29)</f>
        <v/>
      </c>
      <c r="B29" s="76">
        <f>IF(COUNT(C29:Y29)=0,"",SUM(C29:Y29))</f>
        <v/>
      </c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4" t="n"/>
    </row>
    <row r="30">
      <c r="A30" s="81">
        <f>IF(支払先マスタ!A30="","",支払先マスタ!A30)</f>
        <v/>
      </c>
      <c r="B30" s="76">
        <f>IF(COUNT(C30:Y30)=0,"",SUM(C30:Y30))</f>
        <v/>
      </c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4" t="n"/>
    </row>
    <row r="31">
      <c r="A31" s="81">
        <f>IF(支払先マスタ!A31="","",支払先マスタ!A31)</f>
        <v/>
      </c>
      <c r="B31" s="76">
        <f>IF(COUNT(C31:Y31)=0,"",SUM(C31:Y31))</f>
        <v/>
      </c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4" t="n"/>
    </row>
    <row r="32">
      <c r="A32" s="74">
        <f>IF(支払先マスタ!A32="","",支払先マスタ!A32)</f>
        <v/>
      </c>
      <c r="B32" s="76">
        <f>IF(COUNT(C32:Y32)=0,"",SUM(C32:Y32))</f>
        <v/>
      </c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4" t="n"/>
    </row>
    <row r="33">
      <c r="A33" s="81">
        <f>IF(支払先マスタ!A33="","",支払先マスタ!A33)</f>
        <v/>
      </c>
      <c r="B33" s="76">
        <f>IF(COUNT(C33:Y33)=0,"",SUM(C33:Y33))</f>
        <v/>
      </c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4" t="n"/>
    </row>
    <row r="34">
      <c r="A34" s="74">
        <f>IF(支払先マスタ!A34="","",支払先マスタ!A34)</f>
        <v/>
      </c>
      <c r="B34" s="76">
        <f>IF(COUNT(C34:Y34)=0,"",SUM(C34:Y34))</f>
        <v/>
      </c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4" t="n"/>
    </row>
    <row r="35">
      <c r="A35" s="81">
        <f>IF(支払先マスタ!A35="","",支払先マスタ!A35)</f>
        <v/>
      </c>
      <c r="B35" s="76">
        <f>IF(COUNT(C35:Y35)=0,"",SUM(C35:Y35))</f>
        <v/>
      </c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4" t="n"/>
    </row>
    <row r="36">
      <c r="A36" s="81">
        <f>IF(支払先マスタ!A36="","",支払先マスタ!A36)</f>
        <v/>
      </c>
      <c r="B36" s="76">
        <f>IF(COUNT(C36:Y36)=0,"",SUM(C36:Y36))</f>
        <v/>
      </c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4" t="n"/>
    </row>
    <row r="37">
      <c r="A37" s="81">
        <f>IF(支払先マスタ!A37="","",支払先マスタ!A37)</f>
        <v/>
      </c>
      <c r="B37" s="76">
        <f>IF(COUNT(C37:Y37)=0,"",SUM(C37:Y37))</f>
        <v/>
      </c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4" t="n"/>
    </row>
    <row r="38">
      <c r="A38" s="81">
        <f>IF(支払先マスタ!A38="","",支払先マスタ!A38)</f>
        <v/>
      </c>
      <c r="B38" s="76">
        <f>IF(COUNT(C38:Y38)=0,"",SUM(C38:Y38))</f>
        <v/>
      </c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4" t="n"/>
    </row>
    <row r="39">
      <c r="A39" s="81">
        <f>IF(支払先マスタ!A39="","",支払先マスタ!A39)</f>
        <v/>
      </c>
      <c r="B39" s="76">
        <f>IF(COUNT(C39:Y39)=0,"",SUM(C39:Y39))</f>
        <v/>
      </c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4" t="n"/>
    </row>
    <row r="40">
      <c r="A40" s="81">
        <f>IF(支払先マスタ!A40="","",支払先マスタ!A40)</f>
        <v/>
      </c>
      <c r="B40" s="76">
        <f>IF(COUNT(C40:Y40)=0,"",SUM(C40:Y40))</f>
        <v/>
      </c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4" t="n"/>
    </row>
    <row r="41">
      <c r="A41" s="74">
        <f>IF(支払先マスタ!A41="","",支払先マスタ!A41)</f>
        <v/>
      </c>
      <c r="B41" s="76">
        <f>IF(COUNT(C41:Y41)=0,"",SUM(C41:Y41))</f>
        <v/>
      </c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4" t="n"/>
    </row>
    <row r="42">
      <c r="A42" s="74">
        <f>IF(支払先マスタ!A42="","",支払先マスタ!A42)</f>
        <v/>
      </c>
      <c r="B42" s="76">
        <f>IF(COUNT(C42:Y42)=0,"",SUM(C42:Y42))</f>
        <v/>
      </c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4" t="n"/>
    </row>
    <row r="43">
      <c r="A43" s="74">
        <f>IF(支払先マスタ!A43="","",支払先マスタ!A43)</f>
        <v/>
      </c>
      <c r="B43" s="76">
        <f>IF(COUNT(C43:Y43)=0,"",SUM(C43:Y43))</f>
        <v/>
      </c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4" t="n"/>
    </row>
    <row r="44">
      <c r="A44" s="74">
        <f>IF(支払先マスタ!A44="","",支払先マスタ!A44)</f>
        <v/>
      </c>
      <c r="B44" s="76">
        <f>IF(COUNT(C44:Y44)=0,"",SUM(C44:Y44))</f>
        <v/>
      </c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4" t="n"/>
    </row>
    <row r="45">
      <c r="A45" s="74">
        <f>IF(支払先マスタ!A45="","",支払先マスタ!A45)</f>
        <v/>
      </c>
      <c r="B45" s="76">
        <f>IF(COUNT(C45:Y45)=0,"",SUM(C45:Y45))</f>
        <v/>
      </c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4" t="n"/>
    </row>
    <row r="46">
      <c r="A46" s="74">
        <f>IF(支払先マスタ!A46="","",支払先マスタ!A46)</f>
        <v/>
      </c>
      <c r="B46" s="76">
        <f>IF(COUNT(C46:Y46)=0,"",SUM(C46:Y46))</f>
        <v/>
      </c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4" t="n"/>
    </row>
    <row r="47">
      <c r="A47" s="74">
        <f>IF(支払先マスタ!A47="","",支払先マスタ!A47)</f>
        <v/>
      </c>
      <c r="B47" s="76">
        <f>IF(COUNT(C47:Y47)=0,"",SUM(C47:Y47))</f>
        <v/>
      </c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4" t="n"/>
    </row>
    <row r="48">
      <c r="A48" s="74">
        <f>IF(支払先マスタ!A48="","",支払先マスタ!A48)</f>
        <v/>
      </c>
      <c r="B48" s="76">
        <f>IF(COUNT(C48:Y48)=0,"",SUM(C48:Y48))</f>
        <v/>
      </c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4" t="n"/>
    </row>
    <row r="49">
      <c r="A49" s="74">
        <f>IF(支払先マスタ!A49="","",支払先マスタ!A49)</f>
        <v/>
      </c>
      <c r="B49" s="76">
        <f>IF(COUNT(C49:Y49)=0,"",SUM(C49:Y49))</f>
        <v/>
      </c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4" t="n"/>
    </row>
    <row r="50">
      <c r="A50" s="74">
        <f>IF(支払先マスタ!A50="","",支払先マスタ!A50)</f>
        <v/>
      </c>
      <c r="B50" s="76">
        <f>IF(COUNT(C50:Y50)=0,"",SUM(C50:Y50))</f>
        <v/>
      </c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4" t="n"/>
    </row>
    <row r="51">
      <c r="A51" s="74">
        <f>IF(支払先マスタ!A51="","",支払先マスタ!A51)</f>
        <v/>
      </c>
      <c r="B51" s="76">
        <f>IF(COUNT(C51:Y51)=0,"",SUM(C51:Y51))</f>
        <v/>
      </c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4" t="n"/>
    </row>
    <row r="52">
      <c r="A52" s="74">
        <f>IF(支払先マスタ!A52="","",支払先マスタ!A52)</f>
        <v/>
      </c>
      <c r="B52" s="76">
        <f>IF(COUNT(C52:Y52)=0,"",SUM(C52:Y52))</f>
        <v/>
      </c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4" t="n"/>
    </row>
    <row r="53">
      <c r="A53" s="74">
        <f>IF(支払先マスタ!A53="","",支払先マスタ!A53)</f>
        <v/>
      </c>
      <c r="B53" s="76">
        <f>IF(COUNT(C53:Y53)=0,"",SUM(C53:Y53))</f>
        <v/>
      </c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4" t="n"/>
    </row>
    <row r="54">
      <c r="A54" s="74">
        <f>IF(支払先マスタ!A54="","",支払先マスタ!A54)</f>
        <v/>
      </c>
      <c r="B54" s="76">
        <f>IF(COUNT(C54:Y54)=0,"",SUM(C54:Y54))</f>
        <v/>
      </c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4" t="n"/>
    </row>
    <row r="55">
      <c r="A55" s="74">
        <f>IF(支払先マスタ!A55="","",支払先マスタ!A55)</f>
        <v/>
      </c>
      <c r="B55" s="76">
        <f>IF(COUNT(C55:Y55)=0,"",SUM(C55:Y55))</f>
        <v/>
      </c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4" t="n"/>
    </row>
    <row r="56">
      <c r="A56" s="77" t="inlineStr">
        <is>
          <t>合計</t>
        </is>
      </c>
      <c r="B56" s="78">
        <f>IF(COUNT(B3:B55)=0,"",SUM(B3:B55))</f>
        <v/>
      </c>
      <c r="C56" s="78">
        <f>IF(COUNT(C3:C55)=0,"",SUM(C3:C55))</f>
        <v/>
      </c>
      <c r="D56" s="78">
        <f>IF(COUNT(D3:D55)=0,"",SUM(D3:D55))</f>
        <v/>
      </c>
      <c r="E56" s="78">
        <f>IF(COUNT(E3:E55)=0,"",SUM(E3:E55))</f>
        <v/>
      </c>
      <c r="F56" s="78">
        <f>IF(COUNT(F3:F55)=0,"",SUM(F3:F55))</f>
        <v/>
      </c>
      <c r="G56" s="78">
        <f>IF(COUNT(G3:G55)=0,"",SUM(G3:G55))</f>
        <v/>
      </c>
      <c r="H56" s="78">
        <f>IF(COUNT(H3:H55)=0,"",SUM(H3:H55))</f>
        <v/>
      </c>
      <c r="I56" s="78">
        <f>IF(COUNT(I3:I55)=0,"",SUM(I3:I55))</f>
        <v/>
      </c>
      <c r="J56" s="78">
        <f>IF(COUNT(J3:J55)=0,"",SUM(J3:J55))</f>
        <v/>
      </c>
      <c r="K56" s="78">
        <f>IF(COUNT(K3:K55)=0,"",SUM(K3:K55))</f>
        <v/>
      </c>
      <c r="L56" s="78">
        <f>IF(COUNT(L3:L55)=0,"",SUM(L3:L55))</f>
        <v/>
      </c>
      <c r="M56" s="78">
        <f>IF(COUNT(M3:M55)=0,"",SUM(M3:M55))</f>
        <v/>
      </c>
      <c r="N56" s="78">
        <f>IF(COUNT(N3:N55)=0,"",SUM(N3:N55))</f>
        <v/>
      </c>
      <c r="O56" s="78">
        <f>IF(COUNT(O3:O55)=0,"",SUM(O3:O55))</f>
        <v/>
      </c>
      <c r="P56" s="78">
        <f>IF(COUNT(P3:P55)=0,"",SUM(P3:P55))</f>
        <v/>
      </c>
      <c r="Q56" s="78">
        <f>IF(COUNT(Q3:Q55)=0,"",SUM(Q3:Q55))</f>
        <v/>
      </c>
      <c r="R56" s="78">
        <f>IF(COUNT(R3:R55)=0,"",SUM(R3:R55))</f>
        <v/>
      </c>
      <c r="S56" s="78">
        <f>IF(COUNT(S3:S55)=0,"",SUM(S3:S55))</f>
        <v/>
      </c>
      <c r="T56" s="78">
        <f>IF(COUNT(T3:T55)=0,"",SUM(T3:T55))</f>
        <v/>
      </c>
      <c r="U56" s="78">
        <f>IF(COUNT(U3:U55)=0,"",SUM(U3:U55))</f>
        <v/>
      </c>
      <c r="V56" s="78">
        <f>IF(COUNT(V3:V55)=0,"",SUM(V3:V55))</f>
        <v/>
      </c>
      <c r="W56" s="78">
        <f>IF(COUNT(W3:W55)=0,"",SUM(W3:W55))</f>
        <v/>
      </c>
      <c r="X56" s="78">
        <f>IF(COUNT(X3:X55)=0,"",SUM(X3:X55))</f>
        <v/>
      </c>
      <c r="Y56" s="78">
        <f>IF(COUNT(Y3:Y55)=0,"",SUM(Y3:Y55))</f>
        <v/>
      </c>
      <c r="Z56" s="7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26" customWidth="1" min="26" max="26"/>
  </cols>
  <sheetData>
    <row r="1">
      <c r="A1" s="72" t="inlineStr">
        <is>
          <t>202612（2026年12月）  支払先別 × 勘定科目</t>
        </is>
      </c>
      <c r="E1" s="79" t="inlineStr">
        <is>
          <t>※ 支払先の追加は「支払先マスタ」／科目の追加は「科目別集計」シートで行うと全月に反映されます</t>
        </is>
      </c>
    </row>
    <row r="2" ht="54" customHeight="1">
      <c r="A2" s="73" t="inlineStr">
        <is>
          <t>支払先</t>
        </is>
      </c>
      <c r="B2" s="73" t="inlineStr">
        <is>
          <t>合計</t>
        </is>
      </c>
      <c r="C2" s="80">
        <f>IF(科目別集計!$A3="","",科目別集計!$A3)</f>
        <v/>
      </c>
      <c r="D2" s="80">
        <f>IF(科目別集計!$A4="","",科目別集計!$A4)</f>
        <v/>
      </c>
      <c r="E2" s="80">
        <f>IF(科目別集計!$A5="","",科目別集計!$A5)</f>
        <v/>
      </c>
      <c r="F2" s="80">
        <f>IF(科目別集計!$A6="","",科目別集計!$A6)</f>
        <v/>
      </c>
      <c r="G2" s="80">
        <f>IF(科目別集計!$A7="","",科目別集計!$A7)</f>
        <v/>
      </c>
      <c r="H2" s="80">
        <f>IF(科目別集計!$A8="","",科目別集計!$A8)</f>
        <v/>
      </c>
      <c r="I2" s="80">
        <f>IF(科目別集計!$A9="","",科目別集計!$A9)</f>
        <v/>
      </c>
      <c r="J2" s="80">
        <f>IF(科目別集計!$A10="","",科目別集計!$A10)</f>
        <v/>
      </c>
      <c r="K2" s="80">
        <f>IF(科目別集計!$A11="","",科目別集計!$A11)</f>
        <v/>
      </c>
      <c r="L2" s="80">
        <f>IF(科目別集計!$A12="","",科目別集計!$A12)</f>
        <v/>
      </c>
      <c r="M2" s="80">
        <f>IF(科目別集計!$A13="","",科目別集計!$A13)</f>
        <v/>
      </c>
      <c r="N2" s="80">
        <f>IF(科目別集計!$A14="","",科目別集計!$A14)</f>
        <v/>
      </c>
      <c r="O2" s="80">
        <f>IF(科目別集計!$A15="","",科目別集計!$A15)</f>
        <v/>
      </c>
      <c r="P2" s="80">
        <f>IF(科目別集計!$A16="","",科目別集計!$A16)</f>
        <v/>
      </c>
      <c r="Q2" s="80">
        <f>IF(科目別集計!$A17="","",科目別集計!$A17)</f>
        <v/>
      </c>
      <c r="R2" s="80">
        <f>IF(科目別集計!$A18="","",科目別集計!$A18)</f>
        <v/>
      </c>
      <c r="S2" s="80">
        <f>IF(科目別集計!$A19="","",科目別集計!$A19)</f>
        <v/>
      </c>
      <c r="T2" s="80">
        <f>IF(科目別集計!$A20="","",科目別集計!$A20)</f>
        <v/>
      </c>
      <c r="U2" s="80">
        <f>IF(科目別集計!$A21="","",科目別集計!$A21)</f>
        <v/>
      </c>
      <c r="V2" s="80">
        <f>IF(科目別集計!$A22="","",科目別集計!$A22)</f>
        <v/>
      </c>
      <c r="W2" s="80">
        <f>IF(科目別集計!$A23="","",科目別集計!$A23)</f>
        <v/>
      </c>
      <c r="X2" s="80">
        <f>IF(科目別集計!$A24="","",科目別集計!$A24)</f>
        <v/>
      </c>
      <c r="Y2" s="80">
        <f>IF(科目別集計!$A25="","",科目別集計!$A25)</f>
        <v/>
      </c>
      <c r="Z2" s="73" t="inlineStr">
        <is>
          <t>備考</t>
        </is>
      </c>
    </row>
    <row r="3">
      <c r="A3" s="81">
        <f>IF(支払先マスタ!A3="","",支払先マスタ!A3)</f>
        <v/>
      </c>
      <c r="B3" s="76">
        <f>IF(COUNT(C3:Y3)=0,"",SUM(C3:Y3))</f>
        <v/>
      </c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4" t="n"/>
    </row>
    <row r="4">
      <c r="A4" s="81">
        <f>IF(支払先マスタ!A4="","",支払先マスタ!A4)</f>
        <v/>
      </c>
      <c r="B4" s="76">
        <f>IF(COUNT(C4:Y4)=0,"",SUM(C4:Y4))</f>
        <v/>
      </c>
      <c r="C4" s="75" t="n"/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4" t="n"/>
    </row>
    <row r="5">
      <c r="A5" s="81">
        <f>IF(支払先マスタ!A5="","",支払先マスタ!A5)</f>
        <v/>
      </c>
      <c r="B5" s="76">
        <f>IF(COUNT(C5:Y5)=0,"",SUM(C5:Y5))</f>
        <v/>
      </c>
      <c r="C5" s="75" t="n"/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4" t="n"/>
    </row>
    <row r="6">
      <c r="A6" s="81">
        <f>IF(支払先マスタ!A6="","",支払先マスタ!A6)</f>
        <v/>
      </c>
      <c r="B6" s="76">
        <f>IF(COUNT(C6:Y6)=0,"",SUM(C6:Y6))</f>
        <v/>
      </c>
      <c r="C6" s="75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4" t="n"/>
    </row>
    <row r="7">
      <c r="A7" s="81">
        <f>IF(支払先マスタ!A7="","",支払先マスタ!A7)</f>
        <v/>
      </c>
      <c r="B7" s="76">
        <f>IF(COUNT(C7:Y7)=0,"",SUM(C7:Y7))</f>
        <v/>
      </c>
      <c r="C7" s="75" t="n"/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4" t="n"/>
    </row>
    <row r="8">
      <c r="A8" s="81">
        <f>IF(支払先マスタ!A8="","",支払先マスタ!A8)</f>
        <v/>
      </c>
      <c r="B8" s="76">
        <f>IF(COUNT(C8:Y8)=0,"",SUM(C8:Y8))</f>
        <v/>
      </c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4" t="n"/>
    </row>
    <row r="9">
      <c r="A9" s="81">
        <f>IF(支払先マスタ!A9="","",支払先マスタ!A9)</f>
        <v/>
      </c>
      <c r="B9" s="76">
        <f>IF(COUNT(C9:Y9)=0,"",SUM(C9:Y9))</f>
        <v/>
      </c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4" t="n"/>
    </row>
    <row r="10">
      <c r="A10" s="81">
        <f>IF(支払先マスタ!A10="","",支払先マスタ!A10)</f>
        <v/>
      </c>
      <c r="B10" s="76">
        <f>IF(COUNT(C10:Y10)=0,"",SUM(C10:Y10))</f>
        <v/>
      </c>
      <c r="C10" s="75" t="n"/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4" t="n"/>
    </row>
    <row r="11">
      <c r="A11" s="81">
        <f>IF(支払先マスタ!A11="","",支払先マスタ!A11)</f>
        <v/>
      </c>
      <c r="B11" s="76">
        <f>IF(COUNT(C11:Y11)=0,"",SUM(C11:Y11))</f>
        <v/>
      </c>
      <c r="C11" s="75" t="n"/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4" t="n"/>
    </row>
    <row r="12">
      <c r="A12" s="81">
        <f>IF(支払先マスタ!A12="","",支払先マスタ!A12)</f>
        <v/>
      </c>
      <c r="B12" s="76">
        <f>IF(COUNT(C12:Y12)=0,"",SUM(C12:Y12))</f>
        <v/>
      </c>
      <c r="C12" s="75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4" t="n"/>
    </row>
    <row r="13">
      <c r="A13" s="81">
        <f>IF(支払先マスタ!A13="","",支払先マスタ!A13)</f>
        <v/>
      </c>
      <c r="B13" s="76">
        <f>IF(COUNT(C13:Y13)=0,"",SUM(C13:Y13))</f>
        <v/>
      </c>
      <c r="C13" s="75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4" t="n"/>
    </row>
    <row r="14">
      <c r="A14" s="81">
        <f>IF(支払先マスタ!A14="","",支払先マスタ!A14)</f>
        <v/>
      </c>
      <c r="B14" s="76">
        <f>IF(COUNT(C14:Y14)=0,"",SUM(C14:Y14))</f>
        <v/>
      </c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4" t="n"/>
    </row>
    <row r="15">
      <c r="A15" s="74">
        <f>IF(支払先マスタ!A15="","",支払先マスタ!A15)</f>
        <v/>
      </c>
      <c r="B15" s="76">
        <f>IF(COUNT(C15:Y15)=0,"",SUM(C15:Y15))</f>
        <v/>
      </c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4" t="n"/>
    </row>
    <row r="16">
      <c r="A16" s="74">
        <f>IF(支払先マスタ!A16="","",支払先マスタ!A16)</f>
        <v/>
      </c>
      <c r="B16" s="76">
        <f>IF(COUNT(C16:Y16)=0,"",SUM(C16:Y16))</f>
        <v/>
      </c>
      <c r="C16" s="75" t="n"/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4" t="n"/>
    </row>
    <row r="17">
      <c r="A17" s="74">
        <f>IF(支払先マスタ!A17="","",支払先マスタ!A17)</f>
        <v/>
      </c>
      <c r="B17" s="76">
        <f>IF(COUNT(C17:Y17)=0,"",SUM(C17:Y17))</f>
        <v/>
      </c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4" t="n"/>
    </row>
    <row r="18">
      <c r="A18" s="74">
        <f>IF(支払先マスタ!A18="","",支払先マスタ!A18)</f>
        <v/>
      </c>
      <c r="B18" s="76">
        <f>IF(COUNT(C18:Y18)=0,"",SUM(C18:Y18))</f>
        <v/>
      </c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4" t="n"/>
    </row>
    <row r="19">
      <c r="A19" s="74">
        <f>IF(支払先マスタ!A19="","",支払先マスタ!A19)</f>
        <v/>
      </c>
      <c r="B19" s="76">
        <f>IF(COUNT(C19:Y19)=0,"",SUM(C19:Y19))</f>
        <v/>
      </c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4" t="n"/>
    </row>
    <row r="20">
      <c r="A20" s="81">
        <f>IF(支払先マスタ!A20="","",支払先マスタ!A20)</f>
        <v/>
      </c>
      <c r="B20" s="76">
        <f>IF(COUNT(C20:Y20)=0,"",SUM(C20:Y20))</f>
        <v/>
      </c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4" t="n"/>
    </row>
    <row r="21">
      <c r="A21" s="81">
        <f>IF(支払先マスタ!A21="","",支払先マスタ!A21)</f>
        <v/>
      </c>
      <c r="B21" s="76">
        <f>IF(COUNT(C21:Y21)=0,"",SUM(C21:Y21))</f>
        <v/>
      </c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4" t="n"/>
    </row>
    <row r="22">
      <c r="A22" s="81">
        <f>IF(支払先マスタ!A22="","",支払先マスタ!A22)</f>
        <v/>
      </c>
      <c r="B22" s="76">
        <f>IF(COUNT(C22:Y22)=0,"",SUM(C22:Y22))</f>
        <v/>
      </c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4" t="n"/>
    </row>
    <row r="23">
      <c r="A23" s="81">
        <f>IF(支払先マスタ!A23="","",支払先マスタ!A23)</f>
        <v/>
      </c>
      <c r="B23" s="76">
        <f>IF(COUNT(C23:Y23)=0,"",SUM(C23:Y23))</f>
        <v/>
      </c>
      <c r="C23" s="75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4" t="n"/>
    </row>
    <row r="24">
      <c r="A24" s="74">
        <f>IF(支払先マスタ!A24="","",支払先マスタ!A24)</f>
        <v/>
      </c>
      <c r="B24" s="76">
        <f>IF(COUNT(C24:Y24)=0,"",SUM(C24:Y24))</f>
        <v/>
      </c>
      <c r="C24" s="75" t="n"/>
      <c r="D24" s="75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4" t="n"/>
    </row>
    <row r="25">
      <c r="A25" s="74">
        <f>IF(支払先マスタ!A25="","",支払先マスタ!A25)</f>
        <v/>
      </c>
      <c r="B25" s="76">
        <f>IF(COUNT(C25:Y25)=0,"",SUM(C25:Y25))</f>
        <v/>
      </c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4" t="n"/>
    </row>
    <row r="26">
      <c r="A26" s="74">
        <f>IF(支払先マスタ!A26="","",支払先マスタ!A26)</f>
        <v/>
      </c>
      <c r="B26" s="76">
        <f>IF(COUNT(C26:Y26)=0,"",SUM(C26:Y26))</f>
        <v/>
      </c>
      <c r="C26" s="75" t="n"/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4" t="n"/>
    </row>
    <row r="27">
      <c r="A27" s="74">
        <f>IF(支払先マスタ!A27="","",支払先マスタ!A27)</f>
        <v/>
      </c>
      <c r="B27" s="76">
        <f>IF(COUNT(C27:Y27)=0,"",SUM(C27:Y27))</f>
        <v/>
      </c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4" t="n"/>
    </row>
    <row r="28">
      <c r="A28" s="74">
        <f>IF(支払先マスタ!A28="","",支払先マスタ!A28)</f>
        <v/>
      </c>
      <c r="B28" s="76">
        <f>IF(COUNT(C28:Y28)=0,"",SUM(C28:Y28))</f>
        <v/>
      </c>
      <c r="C28" s="75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4" t="n"/>
    </row>
    <row r="29">
      <c r="A29" s="81">
        <f>IF(支払先マスタ!A29="","",支払先マスタ!A29)</f>
        <v/>
      </c>
      <c r="B29" s="76">
        <f>IF(COUNT(C29:Y29)=0,"",SUM(C29:Y29))</f>
        <v/>
      </c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4" t="n"/>
    </row>
    <row r="30">
      <c r="A30" s="81">
        <f>IF(支払先マスタ!A30="","",支払先マスタ!A30)</f>
        <v/>
      </c>
      <c r="B30" s="76">
        <f>IF(COUNT(C30:Y30)=0,"",SUM(C30:Y30))</f>
        <v/>
      </c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4" t="n"/>
    </row>
    <row r="31">
      <c r="A31" s="81">
        <f>IF(支払先マスタ!A31="","",支払先マスタ!A31)</f>
        <v/>
      </c>
      <c r="B31" s="76">
        <f>IF(COUNT(C31:Y31)=0,"",SUM(C31:Y31))</f>
        <v/>
      </c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4" t="n"/>
    </row>
    <row r="32">
      <c r="A32" s="74">
        <f>IF(支払先マスタ!A32="","",支払先マスタ!A32)</f>
        <v/>
      </c>
      <c r="B32" s="76">
        <f>IF(COUNT(C32:Y32)=0,"",SUM(C32:Y32))</f>
        <v/>
      </c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4" t="n"/>
    </row>
    <row r="33">
      <c r="A33" s="81">
        <f>IF(支払先マスタ!A33="","",支払先マスタ!A33)</f>
        <v/>
      </c>
      <c r="B33" s="76">
        <f>IF(COUNT(C33:Y33)=0,"",SUM(C33:Y33))</f>
        <v/>
      </c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4" t="n"/>
    </row>
    <row r="34">
      <c r="A34" s="74">
        <f>IF(支払先マスタ!A34="","",支払先マスタ!A34)</f>
        <v/>
      </c>
      <c r="B34" s="76">
        <f>IF(COUNT(C34:Y34)=0,"",SUM(C34:Y34))</f>
        <v/>
      </c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4" t="n"/>
    </row>
    <row r="35">
      <c r="A35" s="81">
        <f>IF(支払先マスタ!A35="","",支払先マスタ!A35)</f>
        <v/>
      </c>
      <c r="B35" s="76">
        <f>IF(COUNT(C35:Y35)=0,"",SUM(C35:Y35))</f>
        <v/>
      </c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4" t="n"/>
    </row>
    <row r="36">
      <c r="A36" s="81">
        <f>IF(支払先マスタ!A36="","",支払先マスタ!A36)</f>
        <v/>
      </c>
      <c r="B36" s="76">
        <f>IF(COUNT(C36:Y36)=0,"",SUM(C36:Y36))</f>
        <v/>
      </c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4" t="n"/>
    </row>
    <row r="37">
      <c r="A37" s="81">
        <f>IF(支払先マスタ!A37="","",支払先マスタ!A37)</f>
        <v/>
      </c>
      <c r="B37" s="76">
        <f>IF(COUNT(C37:Y37)=0,"",SUM(C37:Y37))</f>
        <v/>
      </c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4" t="n"/>
    </row>
    <row r="38">
      <c r="A38" s="81">
        <f>IF(支払先マスタ!A38="","",支払先マスタ!A38)</f>
        <v/>
      </c>
      <c r="B38" s="76">
        <f>IF(COUNT(C38:Y38)=0,"",SUM(C38:Y38))</f>
        <v/>
      </c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4" t="n"/>
    </row>
    <row r="39">
      <c r="A39" s="81">
        <f>IF(支払先マスタ!A39="","",支払先マスタ!A39)</f>
        <v/>
      </c>
      <c r="B39" s="76">
        <f>IF(COUNT(C39:Y39)=0,"",SUM(C39:Y39))</f>
        <v/>
      </c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4" t="n"/>
    </row>
    <row r="40">
      <c r="A40" s="81">
        <f>IF(支払先マスタ!A40="","",支払先マスタ!A40)</f>
        <v/>
      </c>
      <c r="B40" s="76">
        <f>IF(COUNT(C40:Y40)=0,"",SUM(C40:Y40))</f>
        <v/>
      </c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4" t="n"/>
    </row>
    <row r="41">
      <c r="A41" s="74">
        <f>IF(支払先マスタ!A41="","",支払先マスタ!A41)</f>
        <v/>
      </c>
      <c r="B41" s="76">
        <f>IF(COUNT(C41:Y41)=0,"",SUM(C41:Y41))</f>
        <v/>
      </c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4" t="n"/>
    </row>
    <row r="42">
      <c r="A42" s="74">
        <f>IF(支払先マスタ!A42="","",支払先マスタ!A42)</f>
        <v/>
      </c>
      <c r="B42" s="76">
        <f>IF(COUNT(C42:Y42)=0,"",SUM(C42:Y42))</f>
        <v/>
      </c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4" t="n"/>
    </row>
    <row r="43">
      <c r="A43" s="74">
        <f>IF(支払先マスタ!A43="","",支払先マスタ!A43)</f>
        <v/>
      </c>
      <c r="B43" s="76">
        <f>IF(COUNT(C43:Y43)=0,"",SUM(C43:Y43))</f>
        <v/>
      </c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4" t="n"/>
    </row>
    <row r="44">
      <c r="A44" s="74">
        <f>IF(支払先マスタ!A44="","",支払先マスタ!A44)</f>
        <v/>
      </c>
      <c r="B44" s="76">
        <f>IF(COUNT(C44:Y44)=0,"",SUM(C44:Y44))</f>
        <v/>
      </c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4" t="n"/>
    </row>
    <row r="45">
      <c r="A45" s="74">
        <f>IF(支払先マスタ!A45="","",支払先マスタ!A45)</f>
        <v/>
      </c>
      <c r="B45" s="76">
        <f>IF(COUNT(C45:Y45)=0,"",SUM(C45:Y45))</f>
        <v/>
      </c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4" t="n"/>
    </row>
    <row r="46">
      <c r="A46" s="74">
        <f>IF(支払先マスタ!A46="","",支払先マスタ!A46)</f>
        <v/>
      </c>
      <c r="B46" s="76">
        <f>IF(COUNT(C46:Y46)=0,"",SUM(C46:Y46))</f>
        <v/>
      </c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4" t="n"/>
    </row>
    <row r="47">
      <c r="A47" s="74">
        <f>IF(支払先マスタ!A47="","",支払先マスタ!A47)</f>
        <v/>
      </c>
      <c r="B47" s="76">
        <f>IF(COUNT(C47:Y47)=0,"",SUM(C47:Y47))</f>
        <v/>
      </c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4" t="n"/>
    </row>
    <row r="48">
      <c r="A48" s="74">
        <f>IF(支払先マスタ!A48="","",支払先マスタ!A48)</f>
        <v/>
      </c>
      <c r="B48" s="76">
        <f>IF(COUNT(C48:Y48)=0,"",SUM(C48:Y48))</f>
        <v/>
      </c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4" t="n"/>
    </row>
    <row r="49">
      <c r="A49" s="74">
        <f>IF(支払先マスタ!A49="","",支払先マスタ!A49)</f>
        <v/>
      </c>
      <c r="B49" s="76">
        <f>IF(COUNT(C49:Y49)=0,"",SUM(C49:Y49))</f>
        <v/>
      </c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4" t="n"/>
    </row>
    <row r="50">
      <c r="A50" s="74">
        <f>IF(支払先マスタ!A50="","",支払先マスタ!A50)</f>
        <v/>
      </c>
      <c r="B50" s="76">
        <f>IF(COUNT(C50:Y50)=0,"",SUM(C50:Y50))</f>
        <v/>
      </c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4" t="n"/>
    </row>
    <row r="51">
      <c r="A51" s="74">
        <f>IF(支払先マスタ!A51="","",支払先マスタ!A51)</f>
        <v/>
      </c>
      <c r="B51" s="76">
        <f>IF(COUNT(C51:Y51)=0,"",SUM(C51:Y51))</f>
        <v/>
      </c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4" t="n"/>
    </row>
    <row r="52">
      <c r="A52" s="74">
        <f>IF(支払先マスタ!A52="","",支払先マスタ!A52)</f>
        <v/>
      </c>
      <c r="B52" s="76">
        <f>IF(COUNT(C52:Y52)=0,"",SUM(C52:Y52))</f>
        <v/>
      </c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4" t="n"/>
    </row>
    <row r="53">
      <c r="A53" s="74">
        <f>IF(支払先マスタ!A53="","",支払先マスタ!A53)</f>
        <v/>
      </c>
      <c r="B53" s="76">
        <f>IF(COUNT(C53:Y53)=0,"",SUM(C53:Y53))</f>
        <v/>
      </c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4" t="n"/>
    </row>
    <row r="54">
      <c r="A54" s="74">
        <f>IF(支払先マスタ!A54="","",支払先マスタ!A54)</f>
        <v/>
      </c>
      <c r="B54" s="76">
        <f>IF(COUNT(C54:Y54)=0,"",SUM(C54:Y54))</f>
        <v/>
      </c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4" t="n"/>
    </row>
    <row r="55">
      <c r="A55" s="74">
        <f>IF(支払先マスタ!A55="","",支払先マスタ!A55)</f>
        <v/>
      </c>
      <c r="B55" s="76">
        <f>IF(COUNT(C55:Y55)=0,"",SUM(C55:Y55))</f>
        <v/>
      </c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4" t="n"/>
    </row>
    <row r="56">
      <c r="A56" s="77" t="inlineStr">
        <is>
          <t>合計</t>
        </is>
      </c>
      <c r="B56" s="78">
        <f>IF(COUNT(B3:B55)=0,"",SUM(B3:B55))</f>
        <v/>
      </c>
      <c r="C56" s="78">
        <f>IF(COUNT(C3:C55)=0,"",SUM(C3:C55))</f>
        <v/>
      </c>
      <c r="D56" s="78">
        <f>IF(COUNT(D3:D55)=0,"",SUM(D3:D55))</f>
        <v/>
      </c>
      <c r="E56" s="78">
        <f>IF(COUNT(E3:E55)=0,"",SUM(E3:E55))</f>
        <v/>
      </c>
      <c r="F56" s="78">
        <f>IF(COUNT(F3:F55)=0,"",SUM(F3:F55))</f>
        <v/>
      </c>
      <c r="G56" s="78">
        <f>IF(COUNT(G3:G55)=0,"",SUM(G3:G55))</f>
        <v/>
      </c>
      <c r="H56" s="78">
        <f>IF(COUNT(H3:H55)=0,"",SUM(H3:H55))</f>
        <v/>
      </c>
      <c r="I56" s="78">
        <f>IF(COUNT(I3:I55)=0,"",SUM(I3:I55))</f>
        <v/>
      </c>
      <c r="J56" s="78">
        <f>IF(COUNT(J3:J55)=0,"",SUM(J3:J55))</f>
        <v/>
      </c>
      <c r="K56" s="78">
        <f>IF(COUNT(K3:K55)=0,"",SUM(K3:K55))</f>
        <v/>
      </c>
      <c r="L56" s="78">
        <f>IF(COUNT(L3:L55)=0,"",SUM(L3:L55))</f>
        <v/>
      </c>
      <c r="M56" s="78">
        <f>IF(COUNT(M3:M55)=0,"",SUM(M3:M55))</f>
        <v/>
      </c>
      <c r="N56" s="78">
        <f>IF(COUNT(N3:N55)=0,"",SUM(N3:N55))</f>
        <v/>
      </c>
      <c r="O56" s="78">
        <f>IF(COUNT(O3:O55)=0,"",SUM(O3:O55))</f>
        <v/>
      </c>
      <c r="P56" s="78">
        <f>IF(COUNT(P3:P55)=0,"",SUM(P3:P55))</f>
        <v/>
      </c>
      <c r="Q56" s="78">
        <f>IF(COUNT(Q3:Q55)=0,"",SUM(Q3:Q55))</f>
        <v/>
      </c>
      <c r="R56" s="78">
        <f>IF(COUNT(R3:R55)=0,"",SUM(R3:R55))</f>
        <v/>
      </c>
      <c r="S56" s="78">
        <f>IF(COUNT(S3:S55)=0,"",SUM(S3:S55))</f>
        <v/>
      </c>
      <c r="T56" s="78">
        <f>IF(COUNT(T3:T55)=0,"",SUM(T3:T55))</f>
        <v/>
      </c>
      <c r="U56" s="78">
        <f>IF(COUNT(U3:U55)=0,"",SUM(U3:U55))</f>
        <v/>
      </c>
      <c r="V56" s="78">
        <f>IF(COUNT(V3:V55)=0,"",SUM(V3:V55))</f>
        <v/>
      </c>
      <c r="W56" s="78">
        <f>IF(COUNT(W3:W55)=0,"",SUM(W3:W55))</f>
        <v/>
      </c>
      <c r="X56" s="78">
        <f>IF(COUNT(X3:X55)=0,"",SUM(X3:X55))</f>
        <v/>
      </c>
      <c r="Y56" s="78">
        <f>IF(COUNT(Y3:Y55)=0,"",SUM(Y3:Y55))</f>
        <v/>
      </c>
      <c r="Z56" s="7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26" customWidth="1" min="26" max="26"/>
  </cols>
  <sheetData>
    <row r="1">
      <c r="A1" s="72" t="inlineStr">
        <is>
          <t>202701（2027年1月）  支払先別 × 勘定科目</t>
        </is>
      </c>
      <c r="E1" s="79" t="inlineStr">
        <is>
          <t>※ 支払先の追加は「支払先マスタ」／科目の追加は「科目別集計」シートで行うと全月に反映されます</t>
        </is>
      </c>
    </row>
    <row r="2" ht="54" customHeight="1">
      <c r="A2" s="73" t="inlineStr">
        <is>
          <t>支払先</t>
        </is>
      </c>
      <c r="B2" s="73" t="inlineStr">
        <is>
          <t>合計</t>
        </is>
      </c>
      <c r="C2" s="80">
        <f>IF(科目別集計!$A3="","",科目別集計!$A3)</f>
        <v/>
      </c>
      <c r="D2" s="80">
        <f>IF(科目別集計!$A4="","",科目別集計!$A4)</f>
        <v/>
      </c>
      <c r="E2" s="80">
        <f>IF(科目別集計!$A5="","",科目別集計!$A5)</f>
        <v/>
      </c>
      <c r="F2" s="80">
        <f>IF(科目別集計!$A6="","",科目別集計!$A6)</f>
        <v/>
      </c>
      <c r="G2" s="80">
        <f>IF(科目別集計!$A7="","",科目別集計!$A7)</f>
        <v/>
      </c>
      <c r="H2" s="80">
        <f>IF(科目別集計!$A8="","",科目別集計!$A8)</f>
        <v/>
      </c>
      <c r="I2" s="80">
        <f>IF(科目別集計!$A9="","",科目別集計!$A9)</f>
        <v/>
      </c>
      <c r="J2" s="80">
        <f>IF(科目別集計!$A10="","",科目別集計!$A10)</f>
        <v/>
      </c>
      <c r="K2" s="80">
        <f>IF(科目別集計!$A11="","",科目別集計!$A11)</f>
        <v/>
      </c>
      <c r="L2" s="80">
        <f>IF(科目別集計!$A12="","",科目別集計!$A12)</f>
        <v/>
      </c>
      <c r="M2" s="80">
        <f>IF(科目別集計!$A13="","",科目別集計!$A13)</f>
        <v/>
      </c>
      <c r="N2" s="80">
        <f>IF(科目別集計!$A14="","",科目別集計!$A14)</f>
        <v/>
      </c>
      <c r="O2" s="80">
        <f>IF(科目別集計!$A15="","",科目別集計!$A15)</f>
        <v/>
      </c>
      <c r="P2" s="80">
        <f>IF(科目別集計!$A16="","",科目別集計!$A16)</f>
        <v/>
      </c>
      <c r="Q2" s="80">
        <f>IF(科目別集計!$A17="","",科目別集計!$A17)</f>
        <v/>
      </c>
      <c r="R2" s="80">
        <f>IF(科目別集計!$A18="","",科目別集計!$A18)</f>
        <v/>
      </c>
      <c r="S2" s="80">
        <f>IF(科目別集計!$A19="","",科目別集計!$A19)</f>
        <v/>
      </c>
      <c r="T2" s="80">
        <f>IF(科目別集計!$A20="","",科目別集計!$A20)</f>
        <v/>
      </c>
      <c r="U2" s="80">
        <f>IF(科目別集計!$A21="","",科目別集計!$A21)</f>
        <v/>
      </c>
      <c r="V2" s="80">
        <f>IF(科目別集計!$A22="","",科目別集計!$A22)</f>
        <v/>
      </c>
      <c r="W2" s="80">
        <f>IF(科目別集計!$A23="","",科目別集計!$A23)</f>
        <v/>
      </c>
      <c r="X2" s="80">
        <f>IF(科目別集計!$A24="","",科目別集計!$A24)</f>
        <v/>
      </c>
      <c r="Y2" s="80">
        <f>IF(科目別集計!$A25="","",科目別集計!$A25)</f>
        <v/>
      </c>
      <c r="Z2" s="73" t="inlineStr">
        <is>
          <t>備考</t>
        </is>
      </c>
    </row>
    <row r="3">
      <c r="A3" s="81">
        <f>IF(支払先マスタ!A3="","",支払先マスタ!A3)</f>
        <v/>
      </c>
      <c r="B3" s="76">
        <f>IF(COUNT(C3:Y3)=0,"",SUM(C3:Y3))</f>
        <v/>
      </c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4" t="n"/>
    </row>
    <row r="4">
      <c r="A4" s="81">
        <f>IF(支払先マスタ!A4="","",支払先マスタ!A4)</f>
        <v/>
      </c>
      <c r="B4" s="76">
        <f>IF(COUNT(C4:Y4)=0,"",SUM(C4:Y4))</f>
        <v/>
      </c>
      <c r="C4" s="75" t="n"/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4" t="n"/>
    </row>
    <row r="5">
      <c r="A5" s="81">
        <f>IF(支払先マスタ!A5="","",支払先マスタ!A5)</f>
        <v/>
      </c>
      <c r="B5" s="76">
        <f>IF(COUNT(C5:Y5)=0,"",SUM(C5:Y5))</f>
        <v/>
      </c>
      <c r="C5" s="75" t="n"/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4" t="n"/>
    </row>
    <row r="6">
      <c r="A6" s="81">
        <f>IF(支払先マスタ!A6="","",支払先マスタ!A6)</f>
        <v/>
      </c>
      <c r="B6" s="76">
        <f>IF(COUNT(C6:Y6)=0,"",SUM(C6:Y6))</f>
        <v/>
      </c>
      <c r="C6" s="75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4" t="n"/>
    </row>
    <row r="7">
      <c r="A7" s="81">
        <f>IF(支払先マスタ!A7="","",支払先マスタ!A7)</f>
        <v/>
      </c>
      <c r="B7" s="76">
        <f>IF(COUNT(C7:Y7)=0,"",SUM(C7:Y7))</f>
        <v/>
      </c>
      <c r="C7" s="75" t="n"/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4" t="n"/>
    </row>
    <row r="8">
      <c r="A8" s="81">
        <f>IF(支払先マスタ!A8="","",支払先マスタ!A8)</f>
        <v/>
      </c>
      <c r="B8" s="76">
        <f>IF(COUNT(C8:Y8)=0,"",SUM(C8:Y8))</f>
        <v/>
      </c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4" t="n"/>
    </row>
    <row r="9">
      <c r="A9" s="81">
        <f>IF(支払先マスタ!A9="","",支払先マスタ!A9)</f>
        <v/>
      </c>
      <c r="B9" s="76">
        <f>IF(COUNT(C9:Y9)=0,"",SUM(C9:Y9))</f>
        <v/>
      </c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4" t="n"/>
    </row>
    <row r="10">
      <c r="A10" s="81">
        <f>IF(支払先マスタ!A10="","",支払先マスタ!A10)</f>
        <v/>
      </c>
      <c r="B10" s="76">
        <f>IF(COUNT(C10:Y10)=0,"",SUM(C10:Y10))</f>
        <v/>
      </c>
      <c r="C10" s="75" t="n"/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4" t="n"/>
    </row>
    <row r="11">
      <c r="A11" s="81">
        <f>IF(支払先マスタ!A11="","",支払先マスタ!A11)</f>
        <v/>
      </c>
      <c r="B11" s="76">
        <f>IF(COUNT(C11:Y11)=0,"",SUM(C11:Y11))</f>
        <v/>
      </c>
      <c r="C11" s="75" t="n"/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4" t="n"/>
    </row>
    <row r="12">
      <c r="A12" s="81">
        <f>IF(支払先マスタ!A12="","",支払先マスタ!A12)</f>
        <v/>
      </c>
      <c r="B12" s="76">
        <f>IF(COUNT(C12:Y12)=0,"",SUM(C12:Y12))</f>
        <v/>
      </c>
      <c r="C12" s="75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4" t="n"/>
    </row>
    <row r="13">
      <c r="A13" s="81">
        <f>IF(支払先マスタ!A13="","",支払先マスタ!A13)</f>
        <v/>
      </c>
      <c r="B13" s="76">
        <f>IF(COUNT(C13:Y13)=0,"",SUM(C13:Y13))</f>
        <v/>
      </c>
      <c r="C13" s="75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4" t="n"/>
    </row>
    <row r="14">
      <c r="A14" s="81">
        <f>IF(支払先マスタ!A14="","",支払先マスタ!A14)</f>
        <v/>
      </c>
      <c r="B14" s="76">
        <f>IF(COUNT(C14:Y14)=0,"",SUM(C14:Y14))</f>
        <v/>
      </c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4" t="n"/>
    </row>
    <row r="15">
      <c r="A15" s="74">
        <f>IF(支払先マスタ!A15="","",支払先マスタ!A15)</f>
        <v/>
      </c>
      <c r="B15" s="76">
        <f>IF(COUNT(C15:Y15)=0,"",SUM(C15:Y15))</f>
        <v/>
      </c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4" t="n"/>
    </row>
    <row r="16">
      <c r="A16" s="74">
        <f>IF(支払先マスタ!A16="","",支払先マスタ!A16)</f>
        <v/>
      </c>
      <c r="B16" s="76">
        <f>IF(COUNT(C16:Y16)=0,"",SUM(C16:Y16))</f>
        <v/>
      </c>
      <c r="C16" s="75" t="n"/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4" t="n"/>
    </row>
    <row r="17">
      <c r="A17" s="74">
        <f>IF(支払先マスタ!A17="","",支払先マスタ!A17)</f>
        <v/>
      </c>
      <c r="B17" s="76">
        <f>IF(COUNT(C17:Y17)=0,"",SUM(C17:Y17))</f>
        <v/>
      </c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4" t="n"/>
    </row>
    <row r="18">
      <c r="A18" s="74">
        <f>IF(支払先マスタ!A18="","",支払先マスタ!A18)</f>
        <v/>
      </c>
      <c r="B18" s="76">
        <f>IF(COUNT(C18:Y18)=0,"",SUM(C18:Y18))</f>
        <v/>
      </c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4" t="n"/>
    </row>
    <row r="19">
      <c r="A19" s="74">
        <f>IF(支払先マスタ!A19="","",支払先マスタ!A19)</f>
        <v/>
      </c>
      <c r="B19" s="76">
        <f>IF(COUNT(C19:Y19)=0,"",SUM(C19:Y19))</f>
        <v/>
      </c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4" t="n"/>
    </row>
    <row r="20">
      <c r="A20" s="81">
        <f>IF(支払先マスタ!A20="","",支払先マスタ!A20)</f>
        <v/>
      </c>
      <c r="B20" s="76">
        <f>IF(COUNT(C20:Y20)=0,"",SUM(C20:Y20))</f>
        <v/>
      </c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4" t="n"/>
    </row>
    <row r="21">
      <c r="A21" s="81">
        <f>IF(支払先マスタ!A21="","",支払先マスタ!A21)</f>
        <v/>
      </c>
      <c r="B21" s="76">
        <f>IF(COUNT(C21:Y21)=0,"",SUM(C21:Y21))</f>
        <v/>
      </c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4" t="n"/>
    </row>
    <row r="22">
      <c r="A22" s="81">
        <f>IF(支払先マスタ!A22="","",支払先マスタ!A22)</f>
        <v/>
      </c>
      <c r="B22" s="76">
        <f>IF(COUNT(C22:Y22)=0,"",SUM(C22:Y22))</f>
        <v/>
      </c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4" t="n"/>
    </row>
    <row r="23">
      <c r="A23" s="81">
        <f>IF(支払先マスタ!A23="","",支払先マスタ!A23)</f>
        <v/>
      </c>
      <c r="B23" s="76">
        <f>IF(COUNT(C23:Y23)=0,"",SUM(C23:Y23))</f>
        <v/>
      </c>
      <c r="C23" s="75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4" t="n"/>
    </row>
    <row r="24">
      <c r="A24" s="74">
        <f>IF(支払先マスタ!A24="","",支払先マスタ!A24)</f>
        <v/>
      </c>
      <c r="B24" s="76">
        <f>IF(COUNT(C24:Y24)=0,"",SUM(C24:Y24))</f>
        <v/>
      </c>
      <c r="C24" s="75" t="n"/>
      <c r="D24" s="75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4" t="n"/>
    </row>
    <row r="25">
      <c r="A25" s="74">
        <f>IF(支払先マスタ!A25="","",支払先マスタ!A25)</f>
        <v/>
      </c>
      <c r="B25" s="76">
        <f>IF(COUNT(C25:Y25)=0,"",SUM(C25:Y25))</f>
        <v/>
      </c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4" t="n"/>
    </row>
    <row r="26">
      <c r="A26" s="74">
        <f>IF(支払先マスタ!A26="","",支払先マスタ!A26)</f>
        <v/>
      </c>
      <c r="B26" s="76">
        <f>IF(COUNT(C26:Y26)=0,"",SUM(C26:Y26))</f>
        <v/>
      </c>
      <c r="C26" s="75" t="n"/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4" t="n"/>
    </row>
    <row r="27">
      <c r="A27" s="74">
        <f>IF(支払先マスタ!A27="","",支払先マスタ!A27)</f>
        <v/>
      </c>
      <c r="B27" s="76">
        <f>IF(COUNT(C27:Y27)=0,"",SUM(C27:Y27))</f>
        <v/>
      </c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4" t="n"/>
    </row>
    <row r="28">
      <c r="A28" s="74">
        <f>IF(支払先マスタ!A28="","",支払先マスタ!A28)</f>
        <v/>
      </c>
      <c r="B28" s="76">
        <f>IF(COUNT(C28:Y28)=0,"",SUM(C28:Y28))</f>
        <v/>
      </c>
      <c r="C28" s="75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4" t="n"/>
    </row>
    <row r="29">
      <c r="A29" s="81">
        <f>IF(支払先マスタ!A29="","",支払先マスタ!A29)</f>
        <v/>
      </c>
      <c r="B29" s="76">
        <f>IF(COUNT(C29:Y29)=0,"",SUM(C29:Y29))</f>
        <v/>
      </c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4" t="n"/>
    </row>
    <row r="30">
      <c r="A30" s="81">
        <f>IF(支払先マスタ!A30="","",支払先マスタ!A30)</f>
        <v/>
      </c>
      <c r="B30" s="76">
        <f>IF(COUNT(C30:Y30)=0,"",SUM(C30:Y30))</f>
        <v/>
      </c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4" t="n"/>
    </row>
    <row r="31">
      <c r="A31" s="81">
        <f>IF(支払先マスタ!A31="","",支払先マスタ!A31)</f>
        <v/>
      </c>
      <c r="B31" s="76">
        <f>IF(COUNT(C31:Y31)=0,"",SUM(C31:Y31))</f>
        <v/>
      </c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4" t="n"/>
    </row>
    <row r="32">
      <c r="A32" s="74">
        <f>IF(支払先マスタ!A32="","",支払先マスタ!A32)</f>
        <v/>
      </c>
      <c r="B32" s="76">
        <f>IF(COUNT(C32:Y32)=0,"",SUM(C32:Y32))</f>
        <v/>
      </c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4" t="n"/>
    </row>
    <row r="33">
      <c r="A33" s="81">
        <f>IF(支払先マスタ!A33="","",支払先マスタ!A33)</f>
        <v/>
      </c>
      <c r="B33" s="76">
        <f>IF(COUNT(C33:Y33)=0,"",SUM(C33:Y33))</f>
        <v/>
      </c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4" t="n"/>
    </row>
    <row r="34">
      <c r="A34" s="74">
        <f>IF(支払先マスタ!A34="","",支払先マスタ!A34)</f>
        <v/>
      </c>
      <c r="B34" s="76">
        <f>IF(COUNT(C34:Y34)=0,"",SUM(C34:Y34))</f>
        <v/>
      </c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4" t="n"/>
    </row>
    <row r="35">
      <c r="A35" s="81">
        <f>IF(支払先マスタ!A35="","",支払先マスタ!A35)</f>
        <v/>
      </c>
      <c r="B35" s="76">
        <f>IF(COUNT(C35:Y35)=0,"",SUM(C35:Y35))</f>
        <v/>
      </c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4" t="n"/>
    </row>
    <row r="36">
      <c r="A36" s="81">
        <f>IF(支払先マスタ!A36="","",支払先マスタ!A36)</f>
        <v/>
      </c>
      <c r="B36" s="76">
        <f>IF(COUNT(C36:Y36)=0,"",SUM(C36:Y36))</f>
        <v/>
      </c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4" t="n"/>
    </row>
    <row r="37">
      <c r="A37" s="81">
        <f>IF(支払先マスタ!A37="","",支払先マスタ!A37)</f>
        <v/>
      </c>
      <c r="B37" s="76">
        <f>IF(COUNT(C37:Y37)=0,"",SUM(C37:Y37))</f>
        <v/>
      </c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4" t="n"/>
    </row>
    <row r="38">
      <c r="A38" s="81">
        <f>IF(支払先マスタ!A38="","",支払先マスタ!A38)</f>
        <v/>
      </c>
      <c r="B38" s="76">
        <f>IF(COUNT(C38:Y38)=0,"",SUM(C38:Y38))</f>
        <v/>
      </c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4" t="n"/>
    </row>
    <row r="39">
      <c r="A39" s="81">
        <f>IF(支払先マスタ!A39="","",支払先マスタ!A39)</f>
        <v/>
      </c>
      <c r="B39" s="76">
        <f>IF(COUNT(C39:Y39)=0,"",SUM(C39:Y39))</f>
        <v/>
      </c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4" t="n"/>
    </row>
    <row r="40">
      <c r="A40" s="81">
        <f>IF(支払先マスタ!A40="","",支払先マスタ!A40)</f>
        <v/>
      </c>
      <c r="B40" s="76">
        <f>IF(COUNT(C40:Y40)=0,"",SUM(C40:Y40))</f>
        <v/>
      </c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4" t="n"/>
    </row>
    <row r="41">
      <c r="A41" s="74">
        <f>IF(支払先マスタ!A41="","",支払先マスタ!A41)</f>
        <v/>
      </c>
      <c r="B41" s="76">
        <f>IF(COUNT(C41:Y41)=0,"",SUM(C41:Y41))</f>
        <v/>
      </c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4" t="n"/>
    </row>
    <row r="42">
      <c r="A42" s="74">
        <f>IF(支払先マスタ!A42="","",支払先マスタ!A42)</f>
        <v/>
      </c>
      <c r="B42" s="76">
        <f>IF(COUNT(C42:Y42)=0,"",SUM(C42:Y42))</f>
        <v/>
      </c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4" t="n"/>
    </row>
    <row r="43">
      <c r="A43" s="74">
        <f>IF(支払先マスタ!A43="","",支払先マスタ!A43)</f>
        <v/>
      </c>
      <c r="B43" s="76">
        <f>IF(COUNT(C43:Y43)=0,"",SUM(C43:Y43))</f>
        <v/>
      </c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4" t="n"/>
    </row>
    <row r="44">
      <c r="A44" s="74">
        <f>IF(支払先マスタ!A44="","",支払先マスタ!A44)</f>
        <v/>
      </c>
      <c r="B44" s="76">
        <f>IF(COUNT(C44:Y44)=0,"",SUM(C44:Y44))</f>
        <v/>
      </c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4" t="n"/>
    </row>
    <row r="45">
      <c r="A45" s="74">
        <f>IF(支払先マスタ!A45="","",支払先マスタ!A45)</f>
        <v/>
      </c>
      <c r="B45" s="76">
        <f>IF(COUNT(C45:Y45)=0,"",SUM(C45:Y45))</f>
        <v/>
      </c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4" t="n"/>
    </row>
    <row r="46">
      <c r="A46" s="74">
        <f>IF(支払先マスタ!A46="","",支払先マスタ!A46)</f>
        <v/>
      </c>
      <c r="B46" s="76">
        <f>IF(COUNT(C46:Y46)=0,"",SUM(C46:Y46))</f>
        <v/>
      </c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4" t="n"/>
    </row>
    <row r="47">
      <c r="A47" s="74">
        <f>IF(支払先マスタ!A47="","",支払先マスタ!A47)</f>
        <v/>
      </c>
      <c r="B47" s="76">
        <f>IF(COUNT(C47:Y47)=0,"",SUM(C47:Y47))</f>
        <v/>
      </c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4" t="n"/>
    </row>
    <row r="48">
      <c r="A48" s="74">
        <f>IF(支払先マスタ!A48="","",支払先マスタ!A48)</f>
        <v/>
      </c>
      <c r="B48" s="76">
        <f>IF(COUNT(C48:Y48)=0,"",SUM(C48:Y48))</f>
        <v/>
      </c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4" t="n"/>
    </row>
    <row r="49">
      <c r="A49" s="74">
        <f>IF(支払先マスタ!A49="","",支払先マスタ!A49)</f>
        <v/>
      </c>
      <c r="B49" s="76">
        <f>IF(COUNT(C49:Y49)=0,"",SUM(C49:Y49))</f>
        <v/>
      </c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4" t="n"/>
    </row>
    <row r="50">
      <c r="A50" s="74">
        <f>IF(支払先マスタ!A50="","",支払先マスタ!A50)</f>
        <v/>
      </c>
      <c r="B50" s="76">
        <f>IF(COUNT(C50:Y50)=0,"",SUM(C50:Y50))</f>
        <v/>
      </c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4" t="n"/>
    </row>
    <row r="51">
      <c r="A51" s="74">
        <f>IF(支払先マスタ!A51="","",支払先マスタ!A51)</f>
        <v/>
      </c>
      <c r="B51" s="76">
        <f>IF(COUNT(C51:Y51)=0,"",SUM(C51:Y51))</f>
        <v/>
      </c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4" t="n"/>
    </row>
    <row r="52">
      <c r="A52" s="74">
        <f>IF(支払先マスタ!A52="","",支払先マスタ!A52)</f>
        <v/>
      </c>
      <c r="B52" s="76">
        <f>IF(COUNT(C52:Y52)=0,"",SUM(C52:Y52))</f>
        <v/>
      </c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4" t="n"/>
    </row>
    <row r="53">
      <c r="A53" s="74">
        <f>IF(支払先マスタ!A53="","",支払先マスタ!A53)</f>
        <v/>
      </c>
      <c r="B53" s="76">
        <f>IF(COUNT(C53:Y53)=0,"",SUM(C53:Y53))</f>
        <v/>
      </c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4" t="n"/>
    </row>
    <row r="54">
      <c r="A54" s="74">
        <f>IF(支払先マスタ!A54="","",支払先マスタ!A54)</f>
        <v/>
      </c>
      <c r="B54" s="76">
        <f>IF(COUNT(C54:Y54)=0,"",SUM(C54:Y54))</f>
        <v/>
      </c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4" t="n"/>
    </row>
    <row r="55">
      <c r="A55" s="74">
        <f>IF(支払先マスタ!A55="","",支払先マスタ!A55)</f>
        <v/>
      </c>
      <c r="B55" s="76">
        <f>IF(COUNT(C55:Y55)=0,"",SUM(C55:Y55))</f>
        <v/>
      </c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4" t="n"/>
    </row>
    <row r="56">
      <c r="A56" s="77" t="inlineStr">
        <is>
          <t>合計</t>
        </is>
      </c>
      <c r="B56" s="78">
        <f>IF(COUNT(B3:B55)=0,"",SUM(B3:B55))</f>
        <v/>
      </c>
      <c r="C56" s="78">
        <f>IF(COUNT(C3:C55)=0,"",SUM(C3:C55))</f>
        <v/>
      </c>
      <c r="D56" s="78">
        <f>IF(COUNT(D3:D55)=0,"",SUM(D3:D55))</f>
        <v/>
      </c>
      <c r="E56" s="78">
        <f>IF(COUNT(E3:E55)=0,"",SUM(E3:E55))</f>
        <v/>
      </c>
      <c r="F56" s="78">
        <f>IF(COUNT(F3:F55)=0,"",SUM(F3:F55))</f>
        <v/>
      </c>
      <c r="G56" s="78">
        <f>IF(COUNT(G3:G55)=0,"",SUM(G3:G55))</f>
        <v/>
      </c>
      <c r="H56" s="78">
        <f>IF(COUNT(H3:H55)=0,"",SUM(H3:H55))</f>
        <v/>
      </c>
      <c r="I56" s="78">
        <f>IF(COUNT(I3:I55)=0,"",SUM(I3:I55))</f>
        <v/>
      </c>
      <c r="J56" s="78">
        <f>IF(COUNT(J3:J55)=0,"",SUM(J3:J55))</f>
        <v/>
      </c>
      <c r="K56" s="78">
        <f>IF(COUNT(K3:K55)=0,"",SUM(K3:K55))</f>
        <v/>
      </c>
      <c r="L56" s="78">
        <f>IF(COUNT(L3:L55)=0,"",SUM(L3:L55))</f>
        <v/>
      </c>
      <c r="M56" s="78">
        <f>IF(COUNT(M3:M55)=0,"",SUM(M3:M55))</f>
        <v/>
      </c>
      <c r="N56" s="78">
        <f>IF(COUNT(N3:N55)=0,"",SUM(N3:N55))</f>
        <v/>
      </c>
      <c r="O56" s="78">
        <f>IF(COUNT(O3:O55)=0,"",SUM(O3:O55))</f>
        <v/>
      </c>
      <c r="P56" s="78">
        <f>IF(COUNT(P3:P55)=0,"",SUM(P3:P55))</f>
        <v/>
      </c>
      <c r="Q56" s="78">
        <f>IF(COUNT(Q3:Q55)=0,"",SUM(Q3:Q55))</f>
        <v/>
      </c>
      <c r="R56" s="78">
        <f>IF(COUNT(R3:R55)=0,"",SUM(R3:R55))</f>
        <v/>
      </c>
      <c r="S56" s="78">
        <f>IF(COUNT(S3:S55)=0,"",SUM(S3:S55))</f>
        <v/>
      </c>
      <c r="T56" s="78">
        <f>IF(COUNT(T3:T55)=0,"",SUM(T3:T55))</f>
        <v/>
      </c>
      <c r="U56" s="78">
        <f>IF(COUNT(U3:U55)=0,"",SUM(U3:U55))</f>
        <v/>
      </c>
      <c r="V56" s="78">
        <f>IF(COUNT(V3:V55)=0,"",SUM(V3:V55))</f>
        <v/>
      </c>
      <c r="W56" s="78">
        <f>IF(COUNT(W3:W55)=0,"",SUM(W3:W55))</f>
        <v/>
      </c>
      <c r="X56" s="78">
        <f>IF(COUNT(X3:X55)=0,"",SUM(X3:X55))</f>
        <v/>
      </c>
      <c r="Y56" s="78">
        <f>IF(COUNT(Y3:Y55)=0,"",SUM(Y3:Y55))</f>
        <v/>
      </c>
      <c r="Z56" s="7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26" customWidth="1" min="26" max="26"/>
  </cols>
  <sheetData>
    <row r="1">
      <c r="A1" s="72" t="inlineStr">
        <is>
          <t>202702（2027年2月）  支払先別 × 勘定科目</t>
        </is>
      </c>
      <c r="E1" s="79" t="inlineStr">
        <is>
          <t>※ 支払先の追加は「支払先マスタ」／科目の追加は「科目別集計」シートで行うと全月に反映されます</t>
        </is>
      </c>
    </row>
    <row r="2" ht="54" customHeight="1">
      <c r="A2" s="73" t="inlineStr">
        <is>
          <t>支払先</t>
        </is>
      </c>
      <c r="B2" s="73" t="inlineStr">
        <is>
          <t>合計</t>
        </is>
      </c>
      <c r="C2" s="80">
        <f>IF(科目別集計!$A3="","",科目別集計!$A3)</f>
        <v/>
      </c>
      <c r="D2" s="80">
        <f>IF(科目別集計!$A4="","",科目別集計!$A4)</f>
        <v/>
      </c>
      <c r="E2" s="80">
        <f>IF(科目別集計!$A5="","",科目別集計!$A5)</f>
        <v/>
      </c>
      <c r="F2" s="80">
        <f>IF(科目別集計!$A6="","",科目別集計!$A6)</f>
        <v/>
      </c>
      <c r="G2" s="80">
        <f>IF(科目別集計!$A7="","",科目別集計!$A7)</f>
        <v/>
      </c>
      <c r="H2" s="80">
        <f>IF(科目別集計!$A8="","",科目別集計!$A8)</f>
        <v/>
      </c>
      <c r="I2" s="80">
        <f>IF(科目別集計!$A9="","",科目別集計!$A9)</f>
        <v/>
      </c>
      <c r="J2" s="80">
        <f>IF(科目別集計!$A10="","",科目別集計!$A10)</f>
        <v/>
      </c>
      <c r="K2" s="80">
        <f>IF(科目別集計!$A11="","",科目別集計!$A11)</f>
        <v/>
      </c>
      <c r="L2" s="80">
        <f>IF(科目別集計!$A12="","",科目別集計!$A12)</f>
        <v/>
      </c>
      <c r="M2" s="80">
        <f>IF(科目別集計!$A13="","",科目別集計!$A13)</f>
        <v/>
      </c>
      <c r="N2" s="80">
        <f>IF(科目別集計!$A14="","",科目別集計!$A14)</f>
        <v/>
      </c>
      <c r="O2" s="80">
        <f>IF(科目別集計!$A15="","",科目別集計!$A15)</f>
        <v/>
      </c>
      <c r="P2" s="80">
        <f>IF(科目別集計!$A16="","",科目別集計!$A16)</f>
        <v/>
      </c>
      <c r="Q2" s="80">
        <f>IF(科目別集計!$A17="","",科目別集計!$A17)</f>
        <v/>
      </c>
      <c r="R2" s="80">
        <f>IF(科目別集計!$A18="","",科目別集計!$A18)</f>
        <v/>
      </c>
      <c r="S2" s="80">
        <f>IF(科目別集計!$A19="","",科目別集計!$A19)</f>
        <v/>
      </c>
      <c r="T2" s="80">
        <f>IF(科目別集計!$A20="","",科目別集計!$A20)</f>
        <v/>
      </c>
      <c r="U2" s="80">
        <f>IF(科目別集計!$A21="","",科目別集計!$A21)</f>
        <v/>
      </c>
      <c r="V2" s="80">
        <f>IF(科目別集計!$A22="","",科目別集計!$A22)</f>
        <v/>
      </c>
      <c r="W2" s="80">
        <f>IF(科目別集計!$A23="","",科目別集計!$A23)</f>
        <v/>
      </c>
      <c r="X2" s="80">
        <f>IF(科目別集計!$A24="","",科目別集計!$A24)</f>
        <v/>
      </c>
      <c r="Y2" s="80">
        <f>IF(科目別集計!$A25="","",科目別集計!$A25)</f>
        <v/>
      </c>
      <c r="Z2" s="73" t="inlineStr">
        <is>
          <t>備考</t>
        </is>
      </c>
    </row>
    <row r="3">
      <c r="A3" s="81">
        <f>IF(支払先マスタ!A3="","",支払先マスタ!A3)</f>
        <v/>
      </c>
      <c r="B3" s="76">
        <f>IF(COUNT(C3:Y3)=0,"",SUM(C3:Y3))</f>
        <v/>
      </c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4" t="n"/>
    </row>
    <row r="4">
      <c r="A4" s="81">
        <f>IF(支払先マスタ!A4="","",支払先マスタ!A4)</f>
        <v/>
      </c>
      <c r="B4" s="76">
        <f>IF(COUNT(C4:Y4)=0,"",SUM(C4:Y4))</f>
        <v/>
      </c>
      <c r="C4" s="75" t="n"/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4" t="n"/>
    </row>
    <row r="5">
      <c r="A5" s="81">
        <f>IF(支払先マスタ!A5="","",支払先マスタ!A5)</f>
        <v/>
      </c>
      <c r="B5" s="76">
        <f>IF(COUNT(C5:Y5)=0,"",SUM(C5:Y5))</f>
        <v/>
      </c>
      <c r="C5" s="75" t="n"/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4" t="n"/>
    </row>
    <row r="6">
      <c r="A6" s="81">
        <f>IF(支払先マスタ!A6="","",支払先マスタ!A6)</f>
        <v/>
      </c>
      <c r="B6" s="76">
        <f>IF(COUNT(C6:Y6)=0,"",SUM(C6:Y6))</f>
        <v/>
      </c>
      <c r="C6" s="75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4" t="n"/>
    </row>
    <row r="7">
      <c r="A7" s="81">
        <f>IF(支払先マスタ!A7="","",支払先マスタ!A7)</f>
        <v/>
      </c>
      <c r="B7" s="76">
        <f>IF(COUNT(C7:Y7)=0,"",SUM(C7:Y7))</f>
        <v/>
      </c>
      <c r="C7" s="75" t="n"/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4" t="n"/>
    </row>
    <row r="8">
      <c r="A8" s="81">
        <f>IF(支払先マスタ!A8="","",支払先マスタ!A8)</f>
        <v/>
      </c>
      <c r="B8" s="76">
        <f>IF(COUNT(C8:Y8)=0,"",SUM(C8:Y8))</f>
        <v/>
      </c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4" t="n"/>
    </row>
    <row r="9">
      <c r="A9" s="81">
        <f>IF(支払先マスタ!A9="","",支払先マスタ!A9)</f>
        <v/>
      </c>
      <c r="B9" s="76">
        <f>IF(COUNT(C9:Y9)=0,"",SUM(C9:Y9))</f>
        <v/>
      </c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4" t="n"/>
    </row>
    <row r="10">
      <c r="A10" s="81">
        <f>IF(支払先マスタ!A10="","",支払先マスタ!A10)</f>
        <v/>
      </c>
      <c r="B10" s="76">
        <f>IF(COUNT(C10:Y10)=0,"",SUM(C10:Y10))</f>
        <v/>
      </c>
      <c r="C10" s="75" t="n"/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4" t="n"/>
    </row>
    <row r="11">
      <c r="A11" s="81">
        <f>IF(支払先マスタ!A11="","",支払先マスタ!A11)</f>
        <v/>
      </c>
      <c r="B11" s="76">
        <f>IF(COUNT(C11:Y11)=0,"",SUM(C11:Y11))</f>
        <v/>
      </c>
      <c r="C11" s="75" t="n"/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4" t="n"/>
    </row>
    <row r="12">
      <c r="A12" s="81">
        <f>IF(支払先マスタ!A12="","",支払先マスタ!A12)</f>
        <v/>
      </c>
      <c r="B12" s="76">
        <f>IF(COUNT(C12:Y12)=0,"",SUM(C12:Y12))</f>
        <v/>
      </c>
      <c r="C12" s="75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4" t="n"/>
    </row>
    <row r="13">
      <c r="A13" s="81">
        <f>IF(支払先マスタ!A13="","",支払先マスタ!A13)</f>
        <v/>
      </c>
      <c r="B13" s="76">
        <f>IF(COUNT(C13:Y13)=0,"",SUM(C13:Y13))</f>
        <v/>
      </c>
      <c r="C13" s="75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4" t="n"/>
    </row>
    <row r="14">
      <c r="A14" s="81">
        <f>IF(支払先マスタ!A14="","",支払先マスタ!A14)</f>
        <v/>
      </c>
      <c r="B14" s="76">
        <f>IF(COUNT(C14:Y14)=0,"",SUM(C14:Y14))</f>
        <v/>
      </c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4" t="n"/>
    </row>
    <row r="15">
      <c r="A15" s="74">
        <f>IF(支払先マスタ!A15="","",支払先マスタ!A15)</f>
        <v/>
      </c>
      <c r="B15" s="76">
        <f>IF(COUNT(C15:Y15)=0,"",SUM(C15:Y15))</f>
        <v/>
      </c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4" t="n"/>
    </row>
    <row r="16">
      <c r="A16" s="74">
        <f>IF(支払先マスタ!A16="","",支払先マスタ!A16)</f>
        <v/>
      </c>
      <c r="B16" s="76">
        <f>IF(COUNT(C16:Y16)=0,"",SUM(C16:Y16))</f>
        <v/>
      </c>
      <c r="C16" s="75" t="n"/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4" t="n"/>
    </row>
    <row r="17">
      <c r="A17" s="74">
        <f>IF(支払先マスタ!A17="","",支払先マスタ!A17)</f>
        <v/>
      </c>
      <c r="B17" s="76">
        <f>IF(COUNT(C17:Y17)=0,"",SUM(C17:Y17))</f>
        <v/>
      </c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4" t="n"/>
    </row>
    <row r="18">
      <c r="A18" s="74">
        <f>IF(支払先マスタ!A18="","",支払先マスタ!A18)</f>
        <v/>
      </c>
      <c r="B18" s="76">
        <f>IF(COUNT(C18:Y18)=0,"",SUM(C18:Y18))</f>
        <v/>
      </c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4" t="n"/>
    </row>
    <row r="19">
      <c r="A19" s="74">
        <f>IF(支払先マスタ!A19="","",支払先マスタ!A19)</f>
        <v/>
      </c>
      <c r="B19" s="76">
        <f>IF(COUNT(C19:Y19)=0,"",SUM(C19:Y19))</f>
        <v/>
      </c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4" t="n"/>
    </row>
    <row r="20">
      <c r="A20" s="81">
        <f>IF(支払先マスタ!A20="","",支払先マスタ!A20)</f>
        <v/>
      </c>
      <c r="B20" s="76">
        <f>IF(COUNT(C20:Y20)=0,"",SUM(C20:Y20))</f>
        <v/>
      </c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4" t="n"/>
    </row>
    <row r="21">
      <c r="A21" s="81">
        <f>IF(支払先マスタ!A21="","",支払先マスタ!A21)</f>
        <v/>
      </c>
      <c r="B21" s="76">
        <f>IF(COUNT(C21:Y21)=0,"",SUM(C21:Y21))</f>
        <v/>
      </c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4" t="n"/>
    </row>
    <row r="22">
      <c r="A22" s="81">
        <f>IF(支払先マスタ!A22="","",支払先マスタ!A22)</f>
        <v/>
      </c>
      <c r="B22" s="76">
        <f>IF(COUNT(C22:Y22)=0,"",SUM(C22:Y22))</f>
        <v/>
      </c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4" t="n"/>
    </row>
    <row r="23">
      <c r="A23" s="81">
        <f>IF(支払先マスタ!A23="","",支払先マスタ!A23)</f>
        <v/>
      </c>
      <c r="B23" s="76">
        <f>IF(COUNT(C23:Y23)=0,"",SUM(C23:Y23))</f>
        <v/>
      </c>
      <c r="C23" s="75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4" t="n"/>
    </row>
    <row r="24">
      <c r="A24" s="74">
        <f>IF(支払先マスタ!A24="","",支払先マスタ!A24)</f>
        <v/>
      </c>
      <c r="B24" s="76">
        <f>IF(COUNT(C24:Y24)=0,"",SUM(C24:Y24))</f>
        <v/>
      </c>
      <c r="C24" s="75" t="n"/>
      <c r="D24" s="75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4" t="n"/>
    </row>
    <row r="25">
      <c r="A25" s="74">
        <f>IF(支払先マスタ!A25="","",支払先マスタ!A25)</f>
        <v/>
      </c>
      <c r="B25" s="76">
        <f>IF(COUNT(C25:Y25)=0,"",SUM(C25:Y25))</f>
        <v/>
      </c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4" t="n"/>
    </row>
    <row r="26">
      <c r="A26" s="74">
        <f>IF(支払先マスタ!A26="","",支払先マスタ!A26)</f>
        <v/>
      </c>
      <c r="B26" s="76">
        <f>IF(COUNT(C26:Y26)=0,"",SUM(C26:Y26))</f>
        <v/>
      </c>
      <c r="C26" s="75" t="n"/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4" t="n"/>
    </row>
    <row r="27">
      <c r="A27" s="74">
        <f>IF(支払先マスタ!A27="","",支払先マスタ!A27)</f>
        <v/>
      </c>
      <c r="B27" s="76">
        <f>IF(COUNT(C27:Y27)=0,"",SUM(C27:Y27))</f>
        <v/>
      </c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4" t="n"/>
    </row>
    <row r="28">
      <c r="A28" s="74">
        <f>IF(支払先マスタ!A28="","",支払先マスタ!A28)</f>
        <v/>
      </c>
      <c r="B28" s="76">
        <f>IF(COUNT(C28:Y28)=0,"",SUM(C28:Y28))</f>
        <v/>
      </c>
      <c r="C28" s="75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4" t="n"/>
    </row>
    <row r="29">
      <c r="A29" s="81">
        <f>IF(支払先マスタ!A29="","",支払先マスタ!A29)</f>
        <v/>
      </c>
      <c r="B29" s="76">
        <f>IF(COUNT(C29:Y29)=0,"",SUM(C29:Y29))</f>
        <v/>
      </c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4" t="n"/>
    </row>
    <row r="30">
      <c r="A30" s="81">
        <f>IF(支払先マスタ!A30="","",支払先マスタ!A30)</f>
        <v/>
      </c>
      <c r="B30" s="76">
        <f>IF(COUNT(C30:Y30)=0,"",SUM(C30:Y30))</f>
        <v/>
      </c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4" t="n"/>
    </row>
    <row r="31">
      <c r="A31" s="81">
        <f>IF(支払先マスタ!A31="","",支払先マスタ!A31)</f>
        <v/>
      </c>
      <c r="B31" s="76">
        <f>IF(COUNT(C31:Y31)=0,"",SUM(C31:Y31))</f>
        <v/>
      </c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4" t="n"/>
    </row>
    <row r="32">
      <c r="A32" s="74">
        <f>IF(支払先マスタ!A32="","",支払先マスタ!A32)</f>
        <v/>
      </c>
      <c r="B32" s="76">
        <f>IF(COUNT(C32:Y32)=0,"",SUM(C32:Y32))</f>
        <v/>
      </c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4" t="n"/>
    </row>
    <row r="33">
      <c r="A33" s="81">
        <f>IF(支払先マスタ!A33="","",支払先マスタ!A33)</f>
        <v/>
      </c>
      <c r="B33" s="76">
        <f>IF(COUNT(C33:Y33)=0,"",SUM(C33:Y33))</f>
        <v/>
      </c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4" t="n"/>
    </row>
    <row r="34">
      <c r="A34" s="74">
        <f>IF(支払先マスタ!A34="","",支払先マスタ!A34)</f>
        <v/>
      </c>
      <c r="B34" s="76">
        <f>IF(COUNT(C34:Y34)=0,"",SUM(C34:Y34))</f>
        <v/>
      </c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4" t="n"/>
    </row>
    <row r="35">
      <c r="A35" s="81">
        <f>IF(支払先マスタ!A35="","",支払先マスタ!A35)</f>
        <v/>
      </c>
      <c r="B35" s="76">
        <f>IF(COUNT(C35:Y35)=0,"",SUM(C35:Y35))</f>
        <v/>
      </c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4" t="n"/>
    </row>
    <row r="36">
      <c r="A36" s="81">
        <f>IF(支払先マスタ!A36="","",支払先マスタ!A36)</f>
        <v/>
      </c>
      <c r="B36" s="76">
        <f>IF(COUNT(C36:Y36)=0,"",SUM(C36:Y36))</f>
        <v/>
      </c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4" t="n"/>
    </row>
    <row r="37">
      <c r="A37" s="81">
        <f>IF(支払先マスタ!A37="","",支払先マスタ!A37)</f>
        <v/>
      </c>
      <c r="B37" s="76">
        <f>IF(COUNT(C37:Y37)=0,"",SUM(C37:Y37))</f>
        <v/>
      </c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4" t="n"/>
    </row>
    <row r="38">
      <c r="A38" s="81">
        <f>IF(支払先マスタ!A38="","",支払先マスタ!A38)</f>
        <v/>
      </c>
      <c r="B38" s="76">
        <f>IF(COUNT(C38:Y38)=0,"",SUM(C38:Y38))</f>
        <v/>
      </c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4" t="n"/>
    </row>
    <row r="39">
      <c r="A39" s="81">
        <f>IF(支払先マスタ!A39="","",支払先マスタ!A39)</f>
        <v/>
      </c>
      <c r="B39" s="76">
        <f>IF(COUNT(C39:Y39)=0,"",SUM(C39:Y39))</f>
        <v/>
      </c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4" t="n"/>
    </row>
    <row r="40">
      <c r="A40" s="81">
        <f>IF(支払先マスタ!A40="","",支払先マスタ!A40)</f>
        <v/>
      </c>
      <c r="B40" s="76">
        <f>IF(COUNT(C40:Y40)=0,"",SUM(C40:Y40))</f>
        <v/>
      </c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4" t="n"/>
    </row>
    <row r="41">
      <c r="A41" s="74">
        <f>IF(支払先マスタ!A41="","",支払先マスタ!A41)</f>
        <v/>
      </c>
      <c r="B41" s="76">
        <f>IF(COUNT(C41:Y41)=0,"",SUM(C41:Y41))</f>
        <v/>
      </c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4" t="n"/>
    </row>
    <row r="42">
      <c r="A42" s="74">
        <f>IF(支払先マスタ!A42="","",支払先マスタ!A42)</f>
        <v/>
      </c>
      <c r="B42" s="76">
        <f>IF(COUNT(C42:Y42)=0,"",SUM(C42:Y42))</f>
        <v/>
      </c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4" t="n"/>
    </row>
    <row r="43">
      <c r="A43" s="74">
        <f>IF(支払先マスタ!A43="","",支払先マスタ!A43)</f>
        <v/>
      </c>
      <c r="B43" s="76">
        <f>IF(COUNT(C43:Y43)=0,"",SUM(C43:Y43))</f>
        <v/>
      </c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4" t="n"/>
    </row>
    <row r="44">
      <c r="A44" s="74">
        <f>IF(支払先マスタ!A44="","",支払先マスタ!A44)</f>
        <v/>
      </c>
      <c r="B44" s="76">
        <f>IF(COUNT(C44:Y44)=0,"",SUM(C44:Y44))</f>
        <v/>
      </c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4" t="n"/>
    </row>
    <row r="45">
      <c r="A45" s="74">
        <f>IF(支払先マスタ!A45="","",支払先マスタ!A45)</f>
        <v/>
      </c>
      <c r="B45" s="76">
        <f>IF(COUNT(C45:Y45)=0,"",SUM(C45:Y45))</f>
        <v/>
      </c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4" t="n"/>
    </row>
    <row r="46">
      <c r="A46" s="74">
        <f>IF(支払先マスタ!A46="","",支払先マスタ!A46)</f>
        <v/>
      </c>
      <c r="B46" s="76">
        <f>IF(COUNT(C46:Y46)=0,"",SUM(C46:Y46))</f>
        <v/>
      </c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4" t="n"/>
    </row>
    <row r="47">
      <c r="A47" s="74">
        <f>IF(支払先マスタ!A47="","",支払先マスタ!A47)</f>
        <v/>
      </c>
      <c r="B47" s="76">
        <f>IF(COUNT(C47:Y47)=0,"",SUM(C47:Y47))</f>
        <v/>
      </c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4" t="n"/>
    </row>
    <row r="48">
      <c r="A48" s="74">
        <f>IF(支払先マスタ!A48="","",支払先マスタ!A48)</f>
        <v/>
      </c>
      <c r="B48" s="76">
        <f>IF(COUNT(C48:Y48)=0,"",SUM(C48:Y48))</f>
        <v/>
      </c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4" t="n"/>
    </row>
    <row r="49">
      <c r="A49" s="74">
        <f>IF(支払先マスタ!A49="","",支払先マスタ!A49)</f>
        <v/>
      </c>
      <c r="B49" s="76">
        <f>IF(COUNT(C49:Y49)=0,"",SUM(C49:Y49))</f>
        <v/>
      </c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4" t="n"/>
    </row>
    <row r="50">
      <c r="A50" s="74">
        <f>IF(支払先マスタ!A50="","",支払先マスタ!A50)</f>
        <v/>
      </c>
      <c r="B50" s="76">
        <f>IF(COUNT(C50:Y50)=0,"",SUM(C50:Y50))</f>
        <v/>
      </c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4" t="n"/>
    </row>
    <row r="51">
      <c r="A51" s="74">
        <f>IF(支払先マスタ!A51="","",支払先マスタ!A51)</f>
        <v/>
      </c>
      <c r="B51" s="76">
        <f>IF(COUNT(C51:Y51)=0,"",SUM(C51:Y51))</f>
        <v/>
      </c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4" t="n"/>
    </row>
    <row r="52">
      <c r="A52" s="74">
        <f>IF(支払先マスタ!A52="","",支払先マスタ!A52)</f>
        <v/>
      </c>
      <c r="B52" s="76">
        <f>IF(COUNT(C52:Y52)=0,"",SUM(C52:Y52))</f>
        <v/>
      </c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4" t="n"/>
    </row>
    <row r="53">
      <c r="A53" s="74">
        <f>IF(支払先マスタ!A53="","",支払先マスタ!A53)</f>
        <v/>
      </c>
      <c r="B53" s="76">
        <f>IF(COUNT(C53:Y53)=0,"",SUM(C53:Y53))</f>
        <v/>
      </c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4" t="n"/>
    </row>
    <row r="54">
      <c r="A54" s="74">
        <f>IF(支払先マスタ!A54="","",支払先マスタ!A54)</f>
        <v/>
      </c>
      <c r="B54" s="76">
        <f>IF(COUNT(C54:Y54)=0,"",SUM(C54:Y54))</f>
        <v/>
      </c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4" t="n"/>
    </row>
    <row r="55">
      <c r="A55" s="74">
        <f>IF(支払先マスタ!A55="","",支払先マスタ!A55)</f>
        <v/>
      </c>
      <c r="B55" s="76">
        <f>IF(COUNT(C55:Y55)=0,"",SUM(C55:Y55))</f>
        <v/>
      </c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4" t="n"/>
    </row>
    <row r="56">
      <c r="A56" s="77" t="inlineStr">
        <is>
          <t>合計</t>
        </is>
      </c>
      <c r="B56" s="78">
        <f>IF(COUNT(B3:B55)=0,"",SUM(B3:B55))</f>
        <v/>
      </c>
      <c r="C56" s="78">
        <f>IF(COUNT(C3:C55)=0,"",SUM(C3:C55))</f>
        <v/>
      </c>
      <c r="D56" s="78">
        <f>IF(COUNT(D3:D55)=0,"",SUM(D3:D55))</f>
        <v/>
      </c>
      <c r="E56" s="78">
        <f>IF(COUNT(E3:E55)=0,"",SUM(E3:E55))</f>
        <v/>
      </c>
      <c r="F56" s="78">
        <f>IF(COUNT(F3:F55)=0,"",SUM(F3:F55))</f>
        <v/>
      </c>
      <c r="G56" s="78">
        <f>IF(COUNT(G3:G55)=0,"",SUM(G3:G55))</f>
        <v/>
      </c>
      <c r="H56" s="78">
        <f>IF(COUNT(H3:H55)=0,"",SUM(H3:H55))</f>
        <v/>
      </c>
      <c r="I56" s="78">
        <f>IF(COUNT(I3:I55)=0,"",SUM(I3:I55))</f>
        <v/>
      </c>
      <c r="J56" s="78">
        <f>IF(COUNT(J3:J55)=0,"",SUM(J3:J55))</f>
        <v/>
      </c>
      <c r="K56" s="78">
        <f>IF(COUNT(K3:K55)=0,"",SUM(K3:K55))</f>
        <v/>
      </c>
      <c r="L56" s="78">
        <f>IF(COUNT(L3:L55)=0,"",SUM(L3:L55))</f>
        <v/>
      </c>
      <c r="M56" s="78">
        <f>IF(COUNT(M3:M55)=0,"",SUM(M3:M55))</f>
        <v/>
      </c>
      <c r="N56" s="78">
        <f>IF(COUNT(N3:N55)=0,"",SUM(N3:N55))</f>
        <v/>
      </c>
      <c r="O56" s="78">
        <f>IF(COUNT(O3:O55)=0,"",SUM(O3:O55))</f>
        <v/>
      </c>
      <c r="P56" s="78">
        <f>IF(COUNT(P3:P55)=0,"",SUM(P3:P55))</f>
        <v/>
      </c>
      <c r="Q56" s="78">
        <f>IF(COUNT(Q3:Q55)=0,"",SUM(Q3:Q55))</f>
        <v/>
      </c>
      <c r="R56" s="78">
        <f>IF(COUNT(R3:R55)=0,"",SUM(R3:R55))</f>
        <v/>
      </c>
      <c r="S56" s="78">
        <f>IF(COUNT(S3:S55)=0,"",SUM(S3:S55))</f>
        <v/>
      </c>
      <c r="T56" s="78">
        <f>IF(COUNT(T3:T55)=0,"",SUM(T3:T55))</f>
        <v/>
      </c>
      <c r="U56" s="78">
        <f>IF(COUNT(U3:U55)=0,"",SUM(U3:U55))</f>
        <v/>
      </c>
      <c r="V56" s="78">
        <f>IF(COUNT(V3:V55)=0,"",SUM(V3:V55))</f>
        <v/>
      </c>
      <c r="W56" s="78">
        <f>IF(COUNT(W3:W55)=0,"",SUM(W3:W55))</f>
        <v/>
      </c>
      <c r="X56" s="78">
        <f>IF(COUNT(X3:X55)=0,"",SUM(X3:X55))</f>
        <v/>
      </c>
      <c r="Y56" s="78">
        <f>IF(COUNT(Y3:Y55)=0,"",SUM(Y3:Y55))</f>
        <v/>
      </c>
      <c r="Z56" s="7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26" customWidth="1" min="26" max="26"/>
  </cols>
  <sheetData>
    <row r="1">
      <c r="A1" s="72" t="inlineStr">
        <is>
          <t>202703（2027年3月）  支払先別 × 勘定科目</t>
        </is>
      </c>
      <c r="E1" s="79" t="inlineStr">
        <is>
          <t>※ 支払先の追加は「支払先マスタ」／科目の追加は「科目別集計」シートで行うと全月に反映されます</t>
        </is>
      </c>
    </row>
    <row r="2" ht="54" customHeight="1">
      <c r="A2" s="73" t="inlineStr">
        <is>
          <t>支払先</t>
        </is>
      </c>
      <c r="B2" s="73" t="inlineStr">
        <is>
          <t>合計</t>
        </is>
      </c>
      <c r="C2" s="80">
        <f>IF(科目別集計!$A3="","",科目別集計!$A3)</f>
        <v/>
      </c>
      <c r="D2" s="80">
        <f>IF(科目別集計!$A4="","",科目別集計!$A4)</f>
        <v/>
      </c>
      <c r="E2" s="80">
        <f>IF(科目別集計!$A5="","",科目別集計!$A5)</f>
        <v/>
      </c>
      <c r="F2" s="80">
        <f>IF(科目別集計!$A6="","",科目別集計!$A6)</f>
        <v/>
      </c>
      <c r="G2" s="80">
        <f>IF(科目別集計!$A7="","",科目別集計!$A7)</f>
        <v/>
      </c>
      <c r="H2" s="80">
        <f>IF(科目別集計!$A8="","",科目別集計!$A8)</f>
        <v/>
      </c>
      <c r="I2" s="80">
        <f>IF(科目別集計!$A9="","",科目別集計!$A9)</f>
        <v/>
      </c>
      <c r="J2" s="80">
        <f>IF(科目別集計!$A10="","",科目別集計!$A10)</f>
        <v/>
      </c>
      <c r="K2" s="80">
        <f>IF(科目別集計!$A11="","",科目別集計!$A11)</f>
        <v/>
      </c>
      <c r="L2" s="80">
        <f>IF(科目別集計!$A12="","",科目別集計!$A12)</f>
        <v/>
      </c>
      <c r="M2" s="80">
        <f>IF(科目別集計!$A13="","",科目別集計!$A13)</f>
        <v/>
      </c>
      <c r="N2" s="80">
        <f>IF(科目別集計!$A14="","",科目別集計!$A14)</f>
        <v/>
      </c>
      <c r="O2" s="80">
        <f>IF(科目別集計!$A15="","",科目別集計!$A15)</f>
        <v/>
      </c>
      <c r="P2" s="80">
        <f>IF(科目別集計!$A16="","",科目別集計!$A16)</f>
        <v/>
      </c>
      <c r="Q2" s="80">
        <f>IF(科目別集計!$A17="","",科目別集計!$A17)</f>
        <v/>
      </c>
      <c r="R2" s="80">
        <f>IF(科目別集計!$A18="","",科目別集計!$A18)</f>
        <v/>
      </c>
      <c r="S2" s="80">
        <f>IF(科目別集計!$A19="","",科目別集計!$A19)</f>
        <v/>
      </c>
      <c r="T2" s="80">
        <f>IF(科目別集計!$A20="","",科目別集計!$A20)</f>
        <v/>
      </c>
      <c r="U2" s="80">
        <f>IF(科目別集計!$A21="","",科目別集計!$A21)</f>
        <v/>
      </c>
      <c r="V2" s="80">
        <f>IF(科目別集計!$A22="","",科目別集計!$A22)</f>
        <v/>
      </c>
      <c r="W2" s="80">
        <f>IF(科目別集計!$A23="","",科目別集計!$A23)</f>
        <v/>
      </c>
      <c r="X2" s="80">
        <f>IF(科目別集計!$A24="","",科目別集計!$A24)</f>
        <v/>
      </c>
      <c r="Y2" s="80">
        <f>IF(科目別集計!$A25="","",科目別集計!$A25)</f>
        <v/>
      </c>
      <c r="Z2" s="73" t="inlineStr">
        <is>
          <t>備考</t>
        </is>
      </c>
    </row>
    <row r="3">
      <c r="A3" s="81">
        <f>IF(支払先マスタ!A3="","",支払先マスタ!A3)</f>
        <v/>
      </c>
      <c r="B3" s="76">
        <f>IF(COUNT(C3:Y3)=0,"",SUM(C3:Y3))</f>
        <v/>
      </c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4" t="n"/>
    </row>
    <row r="4">
      <c r="A4" s="81">
        <f>IF(支払先マスタ!A4="","",支払先マスタ!A4)</f>
        <v/>
      </c>
      <c r="B4" s="76">
        <f>IF(COUNT(C4:Y4)=0,"",SUM(C4:Y4))</f>
        <v/>
      </c>
      <c r="C4" s="75" t="n"/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4" t="n"/>
    </row>
    <row r="5">
      <c r="A5" s="81">
        <f>IF(支払先マスタ!A5="","",支払先マスタ!A5)</f>
        <v/>
      </c>
      <c r="B5" s="76">
        <f>IF(COUNT(C5:Y5)=0,"",SUM(C5:Y5))</f>
        <v/>
      </c>
      <c r="C5" s="75" t="n"/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4" t="n"/>
    </row>
    <row r="6">
      <c r="A6" s="81">
        <f>IF(支払先マスタ!A6="","",支払先マスタ!A6)</f>
        <v/>
      </c>
      <c r="B6" s="76">
        <f>IF(COUNT(C6:Y6)=0,"",SUM(C6:Y6))</f>
        <v/>
      </c>
      <c r="C6" s="75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4" t="n"/>
    </row>
    <row r="7">
      <c r="A7" s="81">
        <f>IF(支払先マスタ!A7="","",支払先マスタ!A7)</f>
        <v/>
      </c>
      <c r="B7" s="76">
        <f>IF(COUNT(C7:Y7)=0,"",SUM(C7:Y7))</f>
        <v/>
      </c>
      <c r="C7" s="75" t="n"/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4" t="n"/>
    </row>
    <row r="8">
      <c r="A8" s="81">
        <f>IF(支払先マスタ!A8="","",支払先マスタ!A8)</f>
        <v/>
      </c>
      <c r="B8" s="76">
        <f>IF(COUNT(C8:Y8)=0,"",SUM(C8:Y8))</f>
        <v/>
      </c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4" t="n"/>
    </row>
    <row r="9">
      <c r="A9" s="81">
        <f>IF(支払先マスタ!A9="","",支払先マスタ!A9)</f>
        <v/>
      </c>
      <c r="B9" s="76">
        <f>IF(COUNT(C9:Y9)=0,"",SUM(C9:Y9))</f>
        <v/>
      </c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4" t="n"/>
    </row>
    <row r="10">
      <c r="A10" s="81">
        <f>IF(支払先マスタ!A10="","",支払先マスタ!A10)</f>
        <v/>
      </c>
      <c r="B10" s="76">
        <f>IF(COUNT(C10:Y10)=0,"",SUM(C10:Y10))</f>
        <v/>
      </c>
      <c r="C10" s="75" t="n"/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4" t="n"/>
    </row>
    <row r="11">
      <c r="A11" s="81">
        <f>IF(支払先マスタ!A11="","",支払先マスタ!A11)</f>
        <v/>
      </c>
      <c r="B11" s="76">
        <f>IF(COUNT(C11:Y11)=0,"",SUM(C11:Y11))</f>
        <v/>
      </c>
      <c r="C11" s="75" t="n"/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4" t="n"/>
    </row>
    <row r="12">
      <c r="A12" s="81">
        <f>IF(支払先マスタ!A12="","",支払先マスタ!A12)</f>
        <v/>
      </c>
      <c r="B12" s="76">
        <f>IF(COUNT(C12:Y12)=0,"",SUM(C12:Y12))</f>
        <v/>
      </c>
      <c r="C12" s="75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4" t="n"/>
    </row>
    <row r="13">
      <c r="A13" s="81">
        <f>IF(支払先マスタ!A13="","",支払先マスタ!A13)</f>
        <v/>
      </c>
      <c r="B13" s="76">
        <f>IF(COUNT(C13:Y13)=0,"",SUM(C13:Y13))</f>
        <v/>
      </c>
      <c r="C13" s="75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4" t="n"/>
    </row>
    <row r="14">
      <c r="A14" s="81">
        <f>IF(支払先マスタ!A14="","",支払先マスタ!A14)</f>
        <v/>
      </c>
      <c r="B14" s="76">
        <f>IF(COUNT(C14:Y14)=0,"",SUM(C14:Y14))</f>
        <v/>
      </c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4" t="n"/>
    </row>
    <row r="15">
      <c r="A15" s="74">
        <f>IF(支払先マスタ!A15="","",支払先マスタ!A15)</f>
        <v/>
      </c>
      <c r="B15" s="76">
        <f>IF(COUNT(C15:Y15)=0,"",SUM(C15:Y15))</f>
        <v/>
      </c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4" t="n"/>
    </row>
    <row r="16">
      <c r="A16" s="74">
        <f>IF(支払先マスタ!A16="","",支払先マスタ!A16)</f>
        <v/>
      </c>
      <c r="B16" s="76">
        <f>IF(COUNT(C16:Y16)=0,"",SUM(C16:Y16))</f>
        <v/>
      </c>
      <c r="C16" s="75" t="n"/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4" t="n"/>
    </row>
    <row r="17">
      <c r="A17" s="74">
        <f>IF(支払先マスタ!A17="","",支払先マスタ!A17)</f>
        <v/>
      </c>
      <c r="B17" s="76">
        <f>IF(COUNT(C17:Y17)=0,"",SUM(C17:Y17))</f>
        <v/>
      </c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4" t="n"/>
    </row>
    <row r="18">
      <c r="A18" s="74">
        <f>IF(支払先マスタ!A18="","",支払先マスタ!A18)</f>
        <v/>
      </c>
      <c r="B18" s="76">
        <f>IF(COUNT(C18:Y18)=0,"",SUM(C18:Y18))</f>
        <v/>
      </c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4" t="n"/>
    </row>
    <row r="19">
      <c r="A19" s="74">
        <f>IF(支払先マスタ!A19="","",支払先マスタ!A19)</f>
        <v/>
      </c>
      <c r="B19" s="76">
        <f>IF(COUNT(C19:Y19)=0,"",SUM(C19:Y19))</f>
        <v/>
      </c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4" t="n"/>
    </row>
    <row r="20">
      <c r="A20" s="81">
        <f>IF(支払先マスタ!A20="","",支払先マスタ!A20)</f>
        <v/>
      </c>
      <c r="B20" s="76">
        <f>IF(COUNT(C20:Y20)=0,"",SUM(C20:Y20))</f>
        <v/>
      </c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4" t="n"/>
    </row>
    <row r="21">
      <c r="A21" s="81">
        <f>IF(支払先マスタ!A21="","",支払先マスタ!A21)</f>
        <v/>
      </c>
      <c r="B21" s="76">
        <f>IF(COUNT(C21:Y21)=0,"",SUM(C21:Y21))</f>
        <v/>
      </c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4" t="n"/>
    </row>
    <row r="22">
      <c r="A22" s="81">
        <f>IF(支払先マスタ!A22="","",支払先マスタ!A22)</f>
        <v/>
      </c>
      <c r="B22" s="76">
        <f>IF(COUNT(C22:Y22)=0,"",SUM(C22:Y22))</f>
        <v/>
      </c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4" t="n"/>
    </row>
    <row r="23">
      <c r="A23" s="81">
        <f>IF(支払先マスタ!A23="","",支払先マスタ!A23)</f>
        <v/>
      </c>
      <c r="B23" s="76">
        <f>IF(COUNT(C23:Y23)=0,"",SUM(C23:Y23))</f>
        <v/>
      </c>
      <c r="C23" s="75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4" t="n"/>
    </row>
    <row r="24">
      <c r="A24" s="74">
        <f>IF(支払先マスタ!A24="","",支払先マスタ!A24)</f>
        <v/>
      </c>
      <c r="B24" s="76">
        <f>IF(COUNT(C24:Y24)=0,"",SUM(C24:Y24))</f>
        <v/>
      </c>
      <c r="C24" s="75" t="n"/>
      <c r="D24" s="75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4" t="n"/>
    </row>
    <row r="25">
      <c r="A25" s="74">
        <f>IF(支払先マスタ!A25="","",支払先マスタ!A25)</f>
        <v/>
      </c>
      <c r="B25" s="76">
        <f>IF(COUNT(C25:Y25)=0,"",SUM(C25:Y25))</f>
        <v/>
      </c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4" t="n"/>
    </row>
    <row r="26">
      <c r="A26" s="74">
        <f>IF(支払先マスタ!A26="","",支払先マスタ!A26)</f>
        <v/>
      </c>
      <c r="B26" s="76">
        <f>IF(COUNT(C26:Y26)=0,"",SUM(C26:Y26))</f>
        <v/>
      </c>
      <c r="C26" s="75" t="n"/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4" t="n"/>
    </row>
    <row r="27">
      <c r="A27" s="74">
        <f>IF(支払先マスタ!A27="","",支払先マスタ!A27)</f>
        <v/>
      </c>
      <c r="B27" s="76">
        <f>IF(COUNT(C27:Y27)=0,"",SUM(C27:Y27))</f>
        <v/>
      </c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4" t="n"/>
    </row>
    <row r="28">
      <c r="A28" s="74">
        <f>IF(支払先マスタ!A28="","",支払先マスタ!A28)</f>
        <v/>
      </c>
      <c r="B28" s="76">
        <f>IF(COUNT(C28:Y28)=0,"",SUM(C28:Y28))</f>
        <v/>
      </c>
      <c r="C28" s="75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4" t="n"/>
    </row>
    <row r="29">
      <c r="A29" s="81">
        <f>IF(支払先マスタ!A29="","",支払先マスタ!A29)</f>
        <v/>
      </c>
      <c r="B29" s="76">
        <f>IF(COUNT(C29:Y29)=0,"",SUM(C29:Y29))</f>
        <v/>
      </c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4" t="n"/>
    </row>
    <row r="30">
      <c r="A30" s="81">
        <f>IF(支払先マスタ!A30="","",支払先マスタ!A30)</f>
        <v/>
      </c>
      <c r="B30" s="76">
        <f>IF(COUNT(C30:Y30)=0,"",SUM(C30:Y30))</f>
        <v/>
      </c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4" t="n"/>
    </row>
    <row r="31">
      <c r="A31" s="81">
        <f>IF(支払先マスタ!A31="","",支払先マスタ!A31)</f>
        <v/>
      </c>
      <c r="B31" s="76">
        <f>IF(COUNT(C31:Y31)=0,"",SUM(C31:Y31))</f>
        <v/>
      </c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4" t="n"/>
    </row>
    <row r="32">
      <c r="A32" s="74">
        <f>IF(支払先マスタ!A32="","",支払先マスタ!A32)</f>
        <v/>
      </c>
      <c r="B32" s="76">
        <f>IF(COUNT(C32:Y32)=0,"",SUM(C32:Y32))</f>
        <v/>
      </c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4" t="n"/>
    </row>
    <row r="33">
      <c r="A33" s="81">
        <f>IF(支払先マスタ!A33="","",支払先マスタ!A33)</f>
        <v/>
      </c>
      <c r="B33" s="76">
        <f>IF(COUNT(C33:Y33)=0,"",SUM(C33:Y33))</f>
        <v/>
      </c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4" t="n"/>
    </row>
    <row r="34">
      <c r="A34" s="74">
        <f>IF(支払先マスタ!A34="","",支払先マスタ!A34)</f>
        <v/>
      </c>
      <c r="B34" s="76">
        <f>IF(COUNT(C34:Y34)=0,"",SUM(C34:Y34))</f>
        <v/>
      </c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4" t="n"/>
    </row>
    <row r="35">
      <c r="A35" s="81">
        <f>IF(支払先マスタ!A35="","",支払先マスタ!A35)</f>
        <v/>
      </c>
      <c r="B35" s="76">
        <f>IF(COUNT(C35:Y35)=0,"",SUM(C35:Y35))</f>
        <v/>
      </c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4" t="n"/>
    </row>
    <row r="36">
      <c r="A36" s="81">
        <f>IF(支払先マスタ!A36="","",支払先マスタ!A36)</f>
        <v/>
      </c>
      <c r="B36" s="76">
        <f>IF(COUNT(C36:Y36)=0,"",SUM(C36:Y36))</f>
        <v/>
      </c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4" t="n"/>
    </row>
    <row r="37">
      <c r="A37" s="81">
        <f>IF(支払先マスタ!A37="","",支払先マスタ!A37)</f>
        <v/>
      </c>
      <c r="B37" s="76">
        <f>IF(COUNT(C37:Y37)=0,"",SUM(C37:Y37))</f>
        <v/>
      </c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4" t="n"/>
    </row>
    <row r="38">
      <c r="A38" s="81">
        <f>IF(支払先マスタ!A38="","",支払先マスタ!A38)</f>
        <v/>
      </c>
      <c r="B38" s="76">
        <f>IF(COUNT(C38:Y38)=0,"",SUM(C38:Y38))</f>
        <v/>
      </c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4" t="n"/>
    </row>
    <row r="39">
      <c r="A39" s="81">
        <f>IF(支払先マスタ!A39="","",支払先マスタ!A39)</f>
        <v/>
      </c>
      <c r="B39" s="76">
        <f>IF(COUNT(C39:Y39)=0,"",SUM(C39:Y39))</f>
        <v/>
      </c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4" t="n"/>
    </row>
    <row r="40">
      <c r="A40" s="81">
        <f>IF(支払先マスタ!A40="","",支払先マスタ!A40)</f>
        <v/>
      </c>
      <c r="B40" s="76">
        <f>IF(COUNT(C40:Y40)=0,"",SUM(C40:Y40))</f>
        <v/>
      </c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4" t="n"/>
    </row>
    <row r="41">
      <c r="A41" s="74">
        <f>IF(支払先マスタ!A41="","",支払先マスタ!A41)</f>
        <v/>
      </c>
      <c r="B41" s="76">
        <f>IF(COUNT(C41:Y41)=0,"",SUM(C41:Y41))</f>
        <v/>
      </c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4" t="n"/>
    </row>
    <row r="42">
      <c r="A42" s="74">
        <f>IF(支払先マスタ!A42="","",支払先マスタ!A42)</f>
        <v/>
      </c>
      <c r="B42" s="76">
        <f>IF(COUNT(C42:Y42)=0,"",SUM(C42:Y42))</f>
        <v/>
      </c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4" t="n"/>
    </row>
    <row r="43">
      <c r="A43" s="74">
        <f>IF(支払先マスタ!A43="","",支払先マスタ!A43)</f>
        <v/>
      </c>
      <c r="B43" s="76">
        <f>IF(COUNT(C43:Y43)=0,"",SUM(C43:Y43))</f>
        <v/>
      </c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4" t="n"/>
    </row>
    <row r="44">
      <c r="A44" s="74">
        <f>IF(支払先マスタ!A44="","",支払先マスタ!A44)</f>
        <v/>
      </c>
      <c r="B44" s="76">
        <f>IF(COUNT(C44:Y44)=0,"",SUM(C44:Y44))</f>
        <v/>
      </c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4" t="n"/>
    </row>
    <row r="45">
      <c r="A45" s="74">
        <f>IF(支払先マスタ!A45="","",支払先マスタ!A45)</f>
        <v/>
      </c>
      <c r="B45" s="76">
        <f>IF(COUNT(C45:Y45)=0,"",SUM(C45:Y45))</f>
        <v/>
      </c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4" t="n"/>
    </row>
    <row r="46">
      <c r="A46" s="74">
        <f>IF(支払先マスタ!A46="","",支払先マスタ!A46)</f>
        <v/>
      </c>
      <c r="B46" s="76">
        <f>IF(COUNT(C46:Y46)=0,"",SUM(C46:Y46))</f>
        <v/>
      </c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4" t="n"/>
    </row>
    <row r="47">
      <c r="A47" s="74">
        <f>IF(支払先マスタ!A47="","",支払先マスタ!A47)</f>
        <v/>
      </c>
      <c r="B47" s="76">
        <f>IF(COUNT(C47:Y47)=0,"",SUM(C47:Y47))</f>
        <v/>
      </c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4" t="n"/>
    </row>
    <row r="48">
      <c r="A48" s="74">
        <f>IF(支払先マスタ!A48="","",支払先マスタ!A48)</f>
        <v/>
      </c>
      <c r="B48" s="76">
        <f>IF(COUNT(C48:Y48)=0,"",SUM(C48:Y48))</f>
        <v/>
      </c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4" t="n"/>
    </row>
    <row r="49">
      <c r="A49" s="74">
        <f>IF(支払先マスタ!A49="","",支払先マスタ!A49)</f>
        <v/>
      </c>
      <c r="B49" s="76">
        <f>IF(COUNT(C49:Y49)=0,"",SUM(C49:Y49))</f>
        <v/>
      </c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4" t="n"/>
    </row>
    <row r="50">
      <c r="A50" s="74">
        <f>IF(支払先マスタ!A50="","",支払先マスタ!A50)</f>
        <v/>
      </c>
      <c r="B50" s="76">
        <f>IF(COUNT(C50:Y50)=0,"",SUM(C50:Y50))</f>
        <v/>
      </c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4" t="n"/>
    </row>
    <row r="51">
      <c r="A51" s="74">
        <f>IF(支払先マスタ!A51="","",支払先マスタ!A51)</f>
        <v/>
      </c>
      <c r="B51" s="76">
        <f>IF(COUNT(C51:Y51)=0,"",SUM(C51:Y51))</f>
        <v/>
      </c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4" t="n"/>
    </row>
    <row r="52">
      <c r="A52" s="74">
        <f>IF(支払先マスタ!A52="","",支払先マスタ!A52)</f>
        <v/>
      </c>
      <c r="B52" s="76">
        <f>IF(COUNT(C52:Y52)=0,"",SUM(C52:Y52))</f>
        <v/>
      </c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4" t="n"/>
    </row>
    <row r="53">
      <c r="A53" s="74">
        <f>IF(支払先マスタ!A53="","",支払先マスタ!A53)</f>
        <v/>
      </c>
      <c r="B53" s="76">
        <f>IF(COUNT(C53:Y53)=0,"",SUM(C53:Y53))</f>
        <v/>
      </c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4" t="n"/>
    </row>
    <row r="54">
      <c r="A54" s="74">
        <f>IF(支払先マスタ!A54="","",支払先マスタ!A54)</f>
        <v/>
      </c>
      <c r="B54" s="76">
        <f>IF(COUNT(C54:Y54)=0,"",SUM(C54:Y54))</f>
        <v/>
      </c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4" t="n"/>
    </row>
    <row r="55">
      <c r="A55" s="74">
        <f>IF(支払先マスタ!A55="","",支払先マスタ!A55)</f>
        <v/>
      </c>
      <c r="B55" s="76">
        <f>IF(COUNT(C55:Y55)=0,"",SUM(C55:Y55))</f>
        <v/>
      </c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4" t="n"/>
    </row>
    <row r="56">
      <c r="A56" s="77" t="inlineStr">
        <is>
          <t>合計</t>
        </is>
      </c>
      <c r="B56" s="78">
        <f>IF(COUNT(B3:B55)=0,"",SUM(B3:B55))</f>
        <v/>
      </c>
      <c r="C56" s="78">
        <f>IF(COUNT(C3:C55)=0,"",SUM(C3:C55))</f>
        <v/>
      </c>
      <c r="D56" s="78">
        <f>IF(COUNT(D3:D55)=0,"",SUM(D3:D55))</f>
        <v/>
      </c>
      <c r="E56" s="78">
        <f>IF(COUNT(E3:E55)=0,"",SUM(E3:E55))</f>
        <v/>
      </c>
      <c r="F56" s="78">
        <f>IF(COUNT(F3:F55)=0,"",SUM(F3:F55))</f>
        <v/>
      </c>
      <c r="G56" s="78">
        <f>IF(COUNT(G3:G55)=0,"",SUM(G3:G55))</f>
        <v/>
      </c>
      <c r="H56" s="78">
        <f>IF(COUNT(H3:H55)=0,"",SUM(H3:H55))</f>
        <v/>
      </c>
      <c r="I56" s="78">
        <f>IF(COUNT(I3:I55)=0,"",SUM(I3:I55))</f>
        <v/>
      </c>
      <c r="J56" s="78">
        <f>IF(COUNT(J3:J55)=0,"",SUM(J3:J55))</f>
        <v/>
      </c>
      <c r="K56" s="78">
        <f>IF(COUNT(K3:K55)=0,"",SUM(K3:K55))</f>
        <v/>
      </c>
      <c r="L56" s="78">
        <f>IF(COUNT(L3:L55)=0,"",SUM(L3:L55))</f>
        <v/>
      </c>
      <c r="M56" s="78">
        <f>IF(COUNT(M3:M55)=0,"",SUM(M3:M55))</f>
        <v/>
      </c>
      <c r="N56" s="78">
        <f>IF(COUNT(N3:N55)=0,"",SUM(N3:N55))</f>
        <v/>
      </c>
      <c r="O56" s="78">
        <f>IF(COUNT(O3:O55)=0,"",SUM(O3:O55))</f>
        <v/>
      </c>
      <c r="P56" s="78">
        <f>IF(COUNT(P3:P55)=0,"",SUM(P3:P55))</f>
        <v/>
      </c>
      <c r="Q56" s="78">
        <f>IF(COUNT(Q3:Q55)=0,"",SUM(Q3:Q55))</f>
        <v/>
      </c>
      <c r="R56" s="78">
        <f>IF(COUNT(R3:R55)=0,"",SUM(R3:R55))</f>
        <v/>
      </c>
      <c r="S56" s="78">
        <f>IF(COUNT(S3:S55)=0,"",SUM(S3:S55))</f>
        <v/>
      </c>
      <c r="T56" s="78">
        <f>IF(COUNT(T3:T55)=0,"",SUM(T3:T55))</f>
        <v/>
      </c>
      <c r="U56" s="78">
        <f>IF(COUNT(U3:U55)=0,"",SUM(U3:U55))</f>
        <v/>
      </c>
      <c r="V56" s="78">
        <f>IF(COUNT(V3:V55)=0,"",SUM(V3:V55))</f>
        <v/>
      </c>
      <c r="W56" s="78">
        <f>IF(COUNT(W3:W55)=0,"",SUM(W3:W55))</f>
        <v/>
      </c>
      <c r="X56" s="78">
        <f>IF(COUNT(X3:X55)=0,"",SUM(X3:X55))</f>
        <v/>
      </c>
      <c r="Y56" s="78">
        <f>IF(COUNT(Y3:Y55)=0,"",SUM(Y3:Y55))</f>
        <v/>
      </c>
      <c r="Z56" s="7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26" customWidth="1" min="26" max="26"/>
  </cols>
  <sheetData>
    <row r="1">
      <c r="A1" s="72" t="inlineStr">
        <is>
          <t>202704（2027年4月）  支払先別 × 勘定科目</t>
        </is>
      </c>
      <c r="E1" s="79" t="inlineStr">
        <is>
          <t>※ 支払先の追加は「支払先マスタ」／科目の追加は「科目別集計」シートで行うと全月に反映されます</t>
        </is>
      </c>
    </row>
    <row r="2" ht="54" customHeight="1">
      <c r="A2" s="73" t="inlineStr">
        <is>
          <t>支払先</t>
        </is>
      </c>
      <c r="B2" s="73" t="inlineStr">
        <is>
          <t>合計</t>
        </is>
      </c>
      <c r="C2" s="80">
        <f>IF(科目別集計!$A3="","",科目別集計!$A3)</f>
        <v/>
      </c>
      <c r="D2" s="80">
        <f>IF(科目別集計!$A4="","",科目別集計!$A4)</f>
        <v/>
      </c>
      <c r="E2" s="80">
        <f>IF(科目別集計!$A5="","",科目別集計!$A5)</f>
        <v/>
      </c>
      <c r="F2" s="80">
        <f>IF(科目別集計!$A6="","",科目別集計!$A6)</f>
        <v/>
      </c>
      <c r="G2" s="80">
        <f>IF(科目別集計!$A7="","",科目別集計!$A7)</f>
        <v/>
      </c>
      <c r="H2" s="80">
        <f>IF(科目別集計!$A8="","",科目別集計!$A8)</f>
        <v/>
      </c>
      <c r="I2" s="80">
        <f>IF(科目別集計!$A9="","",科目別集計!$A9)</f>
        <v/>
      </c>
      <c r="J2" s="80">
        <f>IF(科目別集計!$A10="","",科目別集計!$A10)</f>
        <v/>
      </c>
      <c r="K2" s="80">
        <f>IF(科目別集計!$A11="","",科目別集計!$A11)</f>
        <v/>
      </c>
      <c r="L2" s="80">
        <f>IF(科目別集計!$A12="","",科目別集計!$A12)</f>
        <v/>
      </c>
      <c r="M2" s="80">
        <f>IF(科目別集計!$A13="","",科目別集計!$A13)</f>
        <v/>
      </c>
      <c r="N2" s="80">
        <f>IF(科目別集計!$A14="","",科目別集計!$A14)</f>
        <v/>
      </c>
      <c r="O2" s="80">
        <f>IF(科目別集計!$A15="","",科目別集計!$A15)</f>
        <v/>
      </c>
      <c r="P2" s="80">
        <f>IF(科目別集計!$A16="","",科目別集計!$A16)</f>
        <v/>
      </c>
      <c r="Q2" s="80">
        <f>IF(科目別集計!$A17="","",科目別集計!$A17)</f>
        <v/>
      </c>
      <c r="R2" s="80">
        <f>IF(科目別集計!$A18="","",科目別集計!$A18)</f>
        <v/>
      </c>
      <c r="S2" s="80">
        <f>IF(科目別集計!$A19="","",科目別集計!$A19)</f>
        <v/>
      </c>
      <c r="T2" s="80">
        <f>IF(科目別集計!$A20="","",科目別集計!$A20)</f>
        <v/>
      </c>
      <c r="U2" s="80">
        <f>IF(科目別集計!$A21="","",科目別集計!$A21)</f>
        <v/>
      </c>
      <c r="V2" s="80">
        <f>IF(科目別集計!$A22="","",科目別集計!$A22)</f>
        <v/>
      </c>
      <c r="W2" s="80">
        <f>IF(科目別集計!$A23="","",科目別集計!$A23)</f>
        <v/>
      </c>
      <c r="X2" s="80">
        <f>IF(科目別集計!$A24="","",科目別集計!$A24)</f>
        <v/>
      </c>
      <c r="Y2" s="80">
        <f>IF(科目別集計!$A25="","",科目別集計!$A25)</f>
        <v/>
      </c>
      <c r="Z2" s="73" t="inlineStr">
        <is>
          <t>備考</t>
        </is>
      </c>
    </row>
    <row r="3">
      <c r="A3" s="81">
        <f>IF(支払先マスタ!A3="","",支払先マスタ!A3)</f>
        <v/>
      </c>
      <c r="B3" s="76">
        <f>IF(COUNT(C3:Y3)=0,"",SUM(C3:Y3))</f>
        <v/>
      </c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4" t="n"/>
    </row>
    <row r="4">
      <c r="A4" s="81">
        <f>IF(支払先マスタ!A4="","",支払先マスタ!A4)</f>
        <v/>
      </c>
      <c r="B4" s="76">
        <f>IF(COUNT(C4:Y4)=0,"",SUM(C4:Y4))</f>
        <v/>
      </c>
      <c r="C4" s="75" t="n"/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4" t="n"/>
    </row>
    <row r="5">
      <c r="A5" s="81">
        <f>IF(支払先マスタ!A5="","",支払先マスタ!A5)</f>
        <v/>
      </c>
      <c r="B5" s="76">
        <f>IF(COUNT(C5:Y5)=0,"",SUM(C5:Y5))</f>
        <v/>
      </c>
      <c r="C5" s="75" t="n"/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4" t="n"/>
    </row>
    <row r="6">
      <c r="A6" s="81">
        <f>IF(支払先マスタ!A6="","",支払先マスタ!A6)</f>
        <v/>
      </c>
      <c r="B6" s="76">
        <f>IF(COUNT(C6:Y6)=0,"",SUM(C6:Y6))</f>
        <v/>
      </c>
      <c r="C6" s="75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4" t="n"/>
    </row>
    <row r="7">
      <c r="A7" s="81">
        <f>IF(支払先マスタ!A7="","",支払先マスタ!A7)</f>
        <v/>
      </c>
      <c r="B7" s="76">
        <f>IF(COUNT(C7:Y7)=0,"",SUM(C7:Y7))</f>
        <v/>
      </c>
      <c r="C7" s="75" t="n"/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4" t="n"/>
    </row>
    <row r="8">
      <c r="A8" s="81">
        <f>IF(支払先マスタ!A8="","",支払先マスタ!A8)</f>
        <v/>
      </c>
      <c r="B8" s="76">
        <f>IF(COUNT(C8:Y8)=0,"",SUM(C8:Y8))</f>
        <v/>
      </c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4" t="n"/>
    </row>
    <row r="9">
      <c r="A9" s="81">
        <f>IF(支払先マスタ!A9="","",支払先マスタ!A9)</f>
        <v/>
      </c>
      <c r="B9" s="76">
        <f>IF(COUNT(C9:Y9)=0,"",SUM(C9:Y9))</f>
        <v/>
      </c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4" t="n"/>
    </row>
    <row r="10">
      <c r="A10" s="81">
        <f>IF(支払先マスタ!A10="","",支払先マスタ!A10)</f>
        <v/>
      </c>
      <c r="B10" s="76">
        <f>IF(COUNT(C10:Y10)=0,"",SUM(C10:Y10))</f>
        <v/>
      </c>
      <c r="C10" s="75" t="n"/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4" t="n"/>
    </row>
    <row r="11">
      <c r="A11" s="81">
        <f>IF(支払先マスタ!A11="","",支払先マスタ!A11)</f>
        <v/>
      </c>
      <c r="B11" s="76">
        <f>IF(COUNT(C11:Y11)=0,"",SUM(C11:Y11))</f>
        <v/>
      </c>
      <c r="C11" s="75" t="n"/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4" t="n"/>
    </row>
    <row r="12">
      <c r="A12" s="81">
        <f>IF(支払先マスタ!A12="","",支払先マスタ!A12)</f>
        <v/>
      </c>
      <c r="B12" s="76">
        <f>IF(COUNT(C12:Y12)=0,"",SUM(C12:Y12))</f>
        <v/>
      </c>
      <c r="C12" s="75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4" t="n"/>
    </row>
    <row r="13">
      <c r="A13" s="81">
        <f>IF(支払先マスタ!A13="","",支払先マスタ!A13)</f>
        <v/>
      </c>
      <c r="B13" s="76">
        <f>IF(COUNT(C13:Y13)=0,"",SUM(C13:Y13))</f>
        <v/>
      </c>
      <c r="C13" s="75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4" t="n"/>
    </row>
    <row r="14">
      <c r="A14" s="81">
        <f>IF(支払先マスタ!A14="","",支払先マスタ!A14)</f>
        <v/>
      </c>
      <c r="B14" s="76">
        <f>IF(COUNT(C14:Y14)=0,"",SUM(C14:Y14))</f>
        <v/>
      </c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4" t="n"/>
    </row>
    <row r="15">
      <c r="A15" s="74">
        <f>IF(支払先マスタ!A15="","",支払先マスタ!A15)</f>
        <v/>
      </c>
      <c r="B15" s="76">
        <f>IF(COUNT(C15:Y15)=0,"",SUM(C15:Y15))</f>
        <v/>
      </c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4" t="n"/>
    </row>
    <row r="16">
      <c r="A16" s="74">
        <f>IF(支払先マスタ!A16="","",支払先マスタ!A16)</f>
        <v/>
      </c>
      <c r="B16" s="76">
        <f>IF(COUNT(C16:Y16)=0,"",SUM(C16:Y16))</f>
        <v/>
      </c>
      <c r="C16" s="75" t="n"/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4" t="n"/>
    </row>
    <row r="17">
      <c r="A17" s="74">
        <f>IF(支払先マスタ!A17="","",支払先マスタ!A17)</f>
        <v/>
      </c>
      <c r="B17" s="76">
        <f>IF(COUNT(C17:Y17)=0,"",SUM(C17:Y17))</f>
        <v/>
      </c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4" t="n"/>
    </row>
    <row r="18">
      <c r="A18" s="74">
        <f>IF(支払先マスタ!A18="","",支払先マスタ!A18)</f>
        <v/>
      </c>
      <c r="B18" s="76">
        <f>IF(COUNT(C18:Y18)=0,"",SUM(C18:Y18))</f>
        <v/>
      </c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4" t="n"/>
    </row>
    <row r="19">
      <c r="A19" s="74">
        <f>IF(支払先マスタ!A19="","",支払先マスタ!A19)</f>
        <v/>
      </c>
      <c r="B19" s="76">
        <f>IF(COUNT(C19:Y19)=0,"",SUM(C19:Y19))</f>
        <v/>
      </c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4" t="n"/>
    </row>
    <row r="20">
      <c r="A20" s="81">
        <f>IF(支払先マスタ!A20="","",支払先マスタ!A20)</f>
        <v/>
      </c>
      <c r="B20" s="76">
        <f>IF(COUNT(C20:Y20)=0,"",SUM(C20:Y20))</f>
        <v/>
      </c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4" t="n"/>
    </row>
    <row r="21">
      <c r="A21" s="81">
        <f>IF(支払先マスタ!A21="","",支払先マスタ!A21)</f>
        <v/>
      </c>
      <c r="B21" s="76">
        <f>IF(COUNT(C21:Y21)=0,"",SUM(C21:Y21))</f>
        <v/>
      </c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4" t="n"/>
    </row>
    <row r="22">
      <c r="A22" s="81">
        <f>IF(支払先マスタ!A22="","",支払先マスタ!A22)</f>
        <v/>
      </c>
      <c r="B22" s="76">
        <f>IF(COUNT(C22:Y22)=0,"",SUM(C22:Y22))</f>
        <v/>
      </c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4" t="n"/>
    </row>
    <row r="23">
      <c r="A23" s="81">
        <f>IF(支払先マスタ!A23="","",支払先マスタ!A23)</f>
        <v/>
      </c>
      <c r="B23" s="76">
        <f>IF(COUNT(C23:Y23)=0,"",SUM(C23:Y23))</f>
        <v/>
      </c>
      <c r="C23" s="75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4" t="n"/>
    </row>
    <row r="24">
      <c r="A24" s="74">
        <f>IF(支払先マスタ!A24="","",支払先マスタ!A24)</f>
        <v/>
      </c>
      <c r="B24" s="76">
        <f>IF(COUNT(C24:Y24)=0,"",SUM(C24:Y24))</f>
        <v/>
      </c>
      <c r="C24" s="75" t="n"/>
      <c r="D24" s="75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4" t="n"/>
    </row>
    <row r="25">
      <c r="A25" s="74">
        <f>IF(支払先マスタ!A25="","",支払先マスタ!A25)</f>
        <v/>
      </c>
      <c r="B25" s="76">
        <f>IF(COUNT(C25:Y25)=0,"",SUM(C25:Y25))</f>
        <v/>
      </c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4" t="n"/>
    </row>
    <row r="26">
      <c r="A26" s="74">
        <f>IF(支払先マスタ!A26="","",支払先マスタ!A26)</f>
        <v/>
      </c>
      <c r="B26" s="76">
        <f>IF(COUNT(C26:Y26)=0,"",SUM(C26:Y26))</f>
        <v/>
      </c>
      <c r="C26" s="75" t="n"/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4" t="n"/>
    </row>
    <row r="27">
      <c r="A27" s="74">
        <f>IF(支払先マスタ!A27="","",支払先マスタ!A27)</f>
        <v/>
      </c>
      <c r="B27" s="76">
        <f>IF(COUNT(C27:Y27)=0,"",SUM(C27:Y27))</f>
        <v/>
      </c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4" t="n"/>
    </row>
    <row r="28">
      <c r="A28" s="74">
        <f>IF(支払先マスタ!A28="","",支払先マスタ!A28)</f>
        <v/>
      </c>
      <c r="B28" s="76">
        <f>IF(COUNT(C28:Y28)=0,"",SUM(C28:Y28))</f>
        <v/>
      </c>
      <c r="C28" s="75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4" t="n"/>
    </row>
    <row r="29">
      <c r="A29" s="81">
        <f>IF(支払先マスタ!A29="","",支払先マスタ!A29)</f>
        <v/>
      </c>
      <c r="B29" s="76">
        <f>IF(COUNT(C29:Y29)=0,"",SUM(C29:Y29))</f>
        <v/>
      </c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4" t="n"/>
    </row>
    <row r="30">
      <c r="A30" s="81">
        <f>IF(支払先マスタ!A30="","",支払先マスタ!A30)</f>
        <v/>
      </c>
      <c r="B30" s="76">
        <f>IF(COUNT(C30:Y30)=0,"",SUM(C30:Y30))</f>
        <v/>
      </c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4" t="n"/>
    </row>
    <row r="31">
      <c r="A31" s="81">
        <f>IF(支払先マスタ!A31="","",支払先マスタ!A31)</f>
        <v/>
      </c>
      <c r="B31" s="76">
        <f>IF(COUNT(C31:Y31)=0,"",SUM(C31:Y31))</f>
        <v/>
      </c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4" t="n"/>
    </row>
    <row r="32">
      <c r="A32" s="74">
        <f>IF(支払先マスタ!A32="","",支払先マスタ!A32)</f>
        <v/>
      </c>
      <c r="B32" s="76">
        <f>IF(COUNT(C32:Y32)=0,"",SUM(C32:Y32))</f>
        <v/>
      </c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4" t="n"/>
    </row>
    <row r="33">
      <c r="A33" s="81">
        <f>IF(支払先マスタ!A33="","",支払先マスタ!A33)</f>
        <v/>
      </c>
      <c r="B33" s="76">
        <f>IF(COUNT(C33:Y33)=0,"",SUM(C33:Y33))</f>
        <v/>
      </c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4" t="n"/>
    </row>
    <row r="34">
      <c r="A34" s="74">
        <f>IF(支払先マスタ!A34="","",支払先マスタ!A34)</f>
        <v/>
      </c>
      <c r="B34" s="76">
        <f>IF(COUNT(C34:Y34)=0,"",SUM(C34:Y34))</f>
        <v/>
      </c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4" t="n"/>
    </row>
    <row r="35">
      <c r="A35" s="81">
        <f>IF(支払先マスタ!A35="","",支払先マスタ!A35)</f>
        <v/>
      </c>
      <c r="B35" s="76">
        <f>IF(COUNT(C35:Y35)=0,"",SUM(C35:Y35))</f>
        <v/>
      </c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4" t="n"/>
    </row>
    <row r="36">
      <c r="A36" s="81">
        <f>IF(支払先マスタ!A36="","",支払先マスタ!A36)</f>
        <v/>
      </c>
      <c r="B36" s="76">
        <f>IF(COUNT(C36:Y36)=0,"",SUM(C36:Y36))</f>
        <v/>
      </c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4" t="n"/>
    </row>
    <row r="37">
      <c r="A37" s="81">
        <f>IF(支払先マスタ!A37="","",支払先マスタ!A37)</f>
        <v/>
      </c>
      <c r="B37" s="76">
        <f>IF(COUNT(C37:Y37)=0,"",SUM(C37:Y37))</f>
        <v/>
      </c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4" t="n"/>
    </row>
    <row r="38">
      <c r="A38" s="81">
        <f>IF(支払先マスタ!A38="","",支払先マスタ!A38)</f>
        <v/>
      </c>
      <c r="B38" s="76">
        <f>IF(COUNT(C38:Y38)=0,"",SUM(C38:Y38))</f>
        <v/>
      </c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4" t="n"/>
    </row>
    <row r="39">
      <c r="A39" s="81">
        <f>IF(支払先マスタ!A39="","",支払先マスタ!A39)</f>
        <v/>
      </c>
      <c r="B39" s="76">
        <f>IF(COUNT(C39:Y39)=0,"",SUM(C39:Y39))</f>
        <v/>
      </c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4" t="n"/>
    </row>
    <row r="40">
      <c r="A40" s="81">
        <f>IF(支払先マスタ!A40="","",支払先マスタ!A40)</f>
        <v/>
      </c>
      <c r="B40" s="76">
        <f>IF(COUNT(C40:Y40)=0,"",SUM(C40:Y40))</f>
        <v/>
      </c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4" t="n"/>
    </row>
    <row r="41">
      <c r="A41" s="74">
        <f>IF(支払先マスタ!A41="","",支払先マスタ!A41)</f>
        <v/>
      </c>
      <c r="B41" s="76">
        <f>IF(COUNT(C41:Y41)=0,"",SUM(C41:Y41))</f>
        <v/>
      </c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4" t="n"/>
    </row>
    <row r="42">
      <c r="A42" s="74">
        <f>IF(支払先マスタ!A42="","",支払先マスタ!A42)</f>
        <v/>
      </c>
      <c r="B42" s="76">
        <f>IF(COUNT(C42:Y42)=0,"",SUM(C42:Y42))</f>
        <v/>
      </c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4" t="n"/>
    </row>
    <row r="43">
      <c r="A43" s="74">
        <f>IF(支払先マスタ!A43="","",支払先マスタ!A43)</f>
        <v/>
      </c>
      <c r="B43" s="76">
        <f>IF(COUNT(C43:Y43)=0,"",SUM(C43:Y43))</f>
        <v/>
      </c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4" t="n"/>
    </row>
    <row r="44">
      <c r="A44" s="74">
        <f>IF(支払先マスタ!A44="","",支払先マスタ!A44)</f>
        <v/>
      </c>
      <c r="B44" s="76">
        <f>IF(COUNT(C44:Y44)=0,"",SUM(C44:Y44))</f>
        <v/>
      </c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4" t="n"/>
    </row>
    <row r="45">
      <c r="A45" s="74">
        <f>IF(支払先マスタ!A45="","",支払先マスタ!A45)</f>
        <v/>
      </c>
      <c r="B45" s="76">
        <f>IF(COUNT(C45:Y45)=0,"",SUM(C45:Y45))</f>
        <v/>
      </c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4" t="n"/>
    </row>
    <row r="46">
      <c r="A46" s="74">
        <f>IF(支払先マスタ!A46="","",支払先マスタ!A46)</f>
        <v/>
      </c>
      <c r="B46" s="76">
        <f>IF(COUNT(C46:Y46)=0,"",SUM(C46:Y46))</f>
        <v/>
      </c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4" t="n"/>
    </row>
    <row r="47">
      <c r="A47" s="74">
        <f>IF(支払先マスタ!A47="","",支払先マスタ!A47)</f>
        <v/>
      </c>
      <c r="B47" s="76">
        <f>IF(COUNT(C47:Y47)=0,"",SUM(C47:Y47))</f>
        <v/>
      </c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4" t="n"/>
    </row>
    <row r="48">
      <c r="A48" s="74">
        <f>IF(支払先マスタ!A48="","",支払先マスタ!A48)</f>
        <v/>
      </c>
      <c r="B48" s="76">
        <f>IF(COUNT(C48:Y48)=0,"",SUM(C48:Y48))</f>
        <v/>
      </c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4" t="n"/>
    </row>
    <row r="49">
      <c r="A49" s="74">
        <f>IF(支払先マスタ!A49="","",支払先マスタ!A49)</f>
        <v/>
      </c>
      <c r="B49" s="76">
        <f>IF(COUNT(C49:Y49)=0,"",SUM(C49:Y49))</f>
        <v/>
      </c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4" t="n"/>
    </row>
    <row r="50">
      <c r="A50" s="74">
        <f>IF(支払先マスタ!A50="","",支払先マスタ!A50)</f>
        <v/>
      </c>
      <c r="B50" s="76">
        <f>IF(COUNT(C50:Y50)=0,"",SUM(C50:Y50))</f>
        <v/>
      </c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4" t="n"/>
    </row>
    <row r="51">
      <c r="A51" s="74">
        <f>IF(支払先マスタ!A51="","",支払先マスタ!A51)</f>
        <v/>
      </c>
      <c r="B51" s="76">
        <f>IF(COUNT(C51:Y51)=0,"",SUM(C51:Y51))</f>
        <v/>
      </c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4" t="n"/>
    </row>
    <row r="52">
      <c r="A52" s="74">
        <f>IF(支払先マスタ!A52="","",支払先マスタ!A52)</f>
        <v/>
      </c>
      <c r="B52" s="76">
        <f>IF(COUNT(C52:Y52)=0,"",SUM(C52:Y52))</f>
        <v/>
      </c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4" t="n"/>
    </row>
    <row r="53">
      <c r="A53" s="74">
        <f>IF(支払先マスタ!A53="","",支払先マスタ!A53)</f>
        <v/>
      </c>
      <c r="B53" s="76">
        <f>IF(COUNT(C53:Y53)=0,"",SUM(C53:Y53))</f>
        <v/>
      </c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4" t="n"/>
    </row>
    <row r="54">
      <c r="A54" s="74">
        <f>IF(支払先マスタ!A54="","",支払先マスタ!A54)</f>
        <v/>
      </c>
      <c r="B54" s="76">
        <f>IF(COUNT(C54:Y54)=0,"",SUM(C54:Y54))</f>
        <v/>
      </c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4" t="n"/>
    </row>
    <row r="55">
      <c r="A55" s="74">
        <f>IF(支払先マスタ!A55="","",支払先マスタ!A55)</f>
        <v/>
      </c>
      <c r="B55" s="76">
        <f>IF(COUNT(C55:Y55)=0,"",SUM(C55:Y55))</f>
        <v/>
      </c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4" t="n"/>
    </row>
    <row r="56">
      <c r="A56" s="77" t="inlineStr">
        <is>
          <t>合計</t>
        </is>
      </c>
      <c r="B56" s="78">
        <f>IF(COUNT(B3:B55)=0,"",SUM(B3:B55))</f>
        <v/>
      </c>
      <c r="C56" s="78">
        <f>IF(COUNT(C3:C55)=0,"",SUM(C3:C55))</f>
        <v/>
      </c>
      <c r="D56" s="78">
        <f>IF(COUNT(D3:D55)=0,"",SUM(D3:D55))</f>
        <v/>
      </c>
      <c r="E56" s="78">
        <f>IF(COUNT(E3:E55)=0,"",SUM(E3:E55))</f>
        <v/>
      </c>
      <c r="F56" s="78">
        <f>IF(COUNT(F3:F55)=0,"",SUM(F3:F55))</f>
        <v/>
      </c>
      <c r="G56" s="78">
        <f>IF(COUNT(G3:G55)=0,"",SUM(G3:G55))</f>
        <v/>
      </c>
      <c r="H56" s="78">
        <f>IF(COUNT(H3:H55)=0,"",SUM(H3:H55))</f>
        <v/>
      </c>
      <c r="I56" s="78">
        <f>IF(COUNT(I3:I55)=0,"",SUM(I3:I55))</f>
        <v/>
      </c>
      <c r="J56" s="78">
        <f>IF(COUNT(J3:J55)=0,"",SUM(J3:J55))</f>
        <v/>
      </c>
      <c r="K56" s="78">
        <f>IF(COUNT(K3:K55)=0,"",SUM(K3:K55))</f>
        <v/>
      </c>
      <c r="L56" s="78">
        <f>IF(COUNT(L3:L55)=0,"",SUM(L3:L55))</f>
        <v/>
      </c>
      <c r="M56" s="78">
        <f>IF(COUNT(M3:M55)=0,"",SUM(M3:M55))</f>
        <v/>
      </c>
      <c r="N56" s="78">
        <f>IF(COUNT(N3:N55)=0,"",SUM(N3:N55))</f>
        <v/>
      </c>
      <c r="O56" s="78">
        <f>IF(COUNT(O3:O55)=0,"",SUM(O3:O55))</f>
        <v/>
      </c>
      <c r="P56" s="78">
        <f>IF(COUNT(P3:P55)=0,"",SUM(P3:P55))</f>
        <v/>
      </c>
      <c r="Q56" s="78">
        <f>IF(COUNT(Q3:Q55)=0,"",SUM(Q3:Q55))</f>
        <v/>
      </c>
      <c r="R56" s="78">
        <f>IF(COUNT(R3:R55)=0,"",SUM(R3:R55))</f>
        <v/>
      </c>
      <c r="S56" s="78">
        <f>IF(COUNT(S3:S55)=0,"",SUM(S3:S55))</f>
        <v/>
      </c>
      <c r="T56" s="78">
        <f>IF(COUNT(T3:T55)=0,"",SUM(T3:T55))</f>
        <v/>
      </c>
      <c r="U56" s="78">
        <f>IF(COUNT(U3:U55)=0,"",SUM(U3:U55))</f>
        <v/>
      </c>
      <c r="V56" s="78">
        <f>IF(COUNT(V3:V55)=0,"",SUM(V3:V55))</f>
        <v/>
      </c>
      <c r="W56" s="78">
        <f>IF(COUNT(W3:W55)=0,"",SUM(W3:W55))</f>
        <v/>
      </c>
      <c r="X56" s="78">
        <f>IF(COUNT(X3:X55)=0,"",SUM(X3:X55))</f>
        <v/>
      </c>
      <c r="Y56" s="78">
        <f>IF(COUNT(Y3:Y55)=0,"",SUM(Y3:Y55))</f>
        <v/>
      </c>
      <c r="Z56" s="7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26" customWidth="1" min="26" max="26"/>
  </cols>
  <sheetData>
    <row r="1">
      <c r="A1" s="72" t="inlineStr">
        <is>
          <t>202705（2027年5月）  支払先別 × 勘定科目</t>
        </is>
      </c>
      <c r="E1" s="79" t="inlineStr">
        <is>
          <t>※ 支払先の追加は「支払先マスタ」／科目の追加は「科目別集計」シートで行うと全月に反映されます</t>
        </is>
      </c>
    </row>
    <row r="2" ht="54" customHeight="1">
      <c r="A2" s="73" t="inlineStr">
        <is>
          <t>支払先</t>
        </is>
      </c>
      <c r="B2" s="73" t="inlineStr">
        <is>
          <t>合計</t>
        </is>
      </c>
      <c r="C2" s="80">
        <f>IF(科目別集計!$A3="","",科目別集計!$A3)</f>
        <v/>
      </c>
      <c r="D2" s="80">
        <f>IF(科目別集計!$A4="","",科目別集計!$A4)</f>
        <v/>
      </c>
      <c r="E2" s="80">
        <f>IF(科目別集計!$A5="","",科目別集計!$A5)</f>
        <v/>
      </c>
      <c r="F2" s="80">
        <f>IF(科目別集計!$A6="","",科目別集計!$A6)</f>
        <v/>
      </c>
      <c r="G2" s="80">
        <f>IF(科目別集計!$A7="","",科目別集計!$A7)</f>
        <v/>
      </c>
      <c r="H2" s="80">
        <f>IF(科目別集計!$A8="","",科目別集計!$A8)</f>
        <v/>
      </c>
      <c r="I2" s="80">
        <f>IF(科目別集計!$A9="","",科目別集計!$A9)</f>
        <v/>
      </c>
      <c r="J2" s="80">
        <f>IF(科目別集計!$A10="","",科目別集計!$A10)</f>
        <v/>
      </c>
      <c r="K2" s="80">
        <f>IF(科目別集計!$A11="","",科目別集計!$A11)</f>
        <v/>
      </c>
      <c r="L2" s="80">
        <f>IF(科目別集計!$A12="","",科目別集計!$A12)</f>
        <v/>
      </c>
      <c r="M2" s="80">
        <f>IF(科目別集計!$A13="","",科目別集計!$A13)</f>
        <v/>
      </c>
      <c r="N2" s="80">
        <f>IF(科目別集計!$A14="","",科目別集計!$A14)</f>
        <v/>
      </c>
      <c r="O2" s="80">
        <f>IF(科目別集計!$A15="","",科目別集計!$A15)</f>
        <v/>
      </c>
      <c r="P2" s="80">
        <f>IF(科目別集計!$A16="","",科目別集計!$A16)</f>
        <v/>
      </c>
      <c r="Q2" s="80">
        <f>IF(科目別集計!$A17="","",科目別集計!$A17)</f>
        <v/>
      </c>
      <c r="R2" s="80">
        <f>IF(科目別集計!$A18="","",科目別集計!$A18)</f>
        <v/>
      </c>
      <c r="S2" s="80">
        <f>IF(科目別集計!$A19="","",科目別集計!$A19)</f>
        <v/>
      </c>
      <c r="T2" s="80">
        <f>IF(科目別集計!$A20="","",科目別集計!$A20)</f>
        <v/>
      </c>
      <c r="U2" s="80">
        <f>IF(科目別集計!$A21="","",科目別集計!$A21)</f>
        <v/>
      </c>
      <c r="V2" s="80">
        <f>IF(科目別集計!$A22="","",科目別集計!$A22)</f>
        <v/>
      </c>
      <c r="W2" s="80">
        <f>IF(科目別集計!$A23="","",科目別集計!$A23)</f>
        <v/>
      </c>
      <c r="X2" s="80">
        <f>IF(科目別集計!$A24="","",科目別集計!$A24)</f>
        <v/>
      </c>
      <c r="Y2" s="80">
        <f>IF(科目別集計!$A25="","",科目別集計!$A25)</f>
        <v/>
      </c>
      <c r="Z2" s="73" t="inlineStr">
        <is>
          <t>備考</t>
        </is>
      </c>
    </row>
    <row r="3">
      <c r="A3" s="81">
        <f>IF(支払先マスタ!A3="","",支払先マスタ!A3)</f>
        <v/>
      </c>
      <c r="B3" s="76">
        <f>IF(COUNT(C3:Y3)=0,"",SUM(C3:Y3))</f>
        <v/>
      </c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4" t="n"/>
    </row>
    <row r="4">
      <c r="A4" s="81">
        <f>IF(支払先マスタ!A4="","",支払先マスタ!A4)</f>
        <v/>
      </c>
      <c r="B4" s="76">
        <f>IF(COUNT(C4:Y4)=0,"",SUM(C4:Y4))</f>
        <v/>
      </c>
      <c r="C4" s="75" t="n"/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4" t="n"/>
    </row>
    <row r="5">
      <c r="A5" s="81">
        <f>IF(支払先マスタ!A5="","",支払先マスタ!A5)</f>
        <v/>
      </c>
      <c r="B5" s="76">
        <f>IF(COUNT(C5:Y5)=0,"",SUM(C5:Y5))</f>
        <v/>
      </c>
      <c r="C5" s="75" t="n"/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4" t="n"/>
    </row>
    <row r="6">
      <c r="A6" s="81">
        <f>IF(支払先マスタ!A6="","",支払先マスタ!A6)</f>
        <v/>
      </c>
      <c r="B6" s="76">
        <f>IF(COUNT(C6:Y6)=0,"",SUM(C6:Y6))</f>
        <v/>
      </c>
      <c r="C6" s="75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4" t="n"/>
    </row>
    <row r="7">
      <c r="A7" s="81">
        <f>IF(支払先マスタ!A7="","",支払先マスタ!A7)</f>
        <v/>
      </c>
      <c r="B7" s="76">
        <f>IF(COUNT(C7:Y7)=0,"",SUM(C7:Y7))</f>
        <v/>
      </c>
      <c r="C7" s="75" t="n"/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4" t="n"/>
    </row>
    <row r="8">
      <c r="A8" s="81">
        <f>IF(支払先マスタ!A8="","",支払先マスタ!A8)</f>
        <v/>
      </c>
      <c r="B8" s="76">
        <f>IF(COUNT(C8:Y8)=0,"",SUM(C8:Y8))</f>
        <v/>
      </c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4" t="n"/>
    </row>
    <row r="9">
      <c r="A9" s="81">
        <f>IF(支払先マスタ!A9="","",支払先マスタ!A9)</f>
        <v/>
      </c>
      <c r="B9" s="76">
        <f>IF(COUNT(C9:Y9)=0,"",SUM(C9:Y9))</f>
        <v/>
      </c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4" t="n"/>
    </row>
    <row r="10">
      <c r="A10" s="81">
        <f>IF(支払先マスタ!A10="","",支払先マスタ!A10)</f>
        <v/>
      </c>
      <c r="B10" s="76">
        <f>IF(COUNT(C10:Y10)=0,"",SUM(C10:Y10))</f>
        <v/>
      </c>
      <c r="C10" s="75" t="n"/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4" t="n"/>
    </row>
    <row r="11">
      <c r="A11" s="81">
        <f>IF(支払先マスタ!A11="","",支払先マスタ!A11)</f>
        <v/>
      </c>
      <c r="B11" s="76">
        <f>IF(COUNT(C11:Y11)=0,"",SUM(C11:Y11))</f>
        <v/>
      </c>
      <c r="C11" s="75" t="n"/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4" t="n"/>
    </row>
    <row r="12">
      <c r="A12" s="81">
        <f>IF(支払先マスタ!A12="","",支払先マスタ!A12)</f>
        <v/>
      </c>
      <c r="B12" s="76">
        <f>IF(COUNT(C12:Y12)=0,"",SUM(C12:Y12))</f>
        <v/>
      </c>
      <c r="C12" s="75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4" t="n"/>
    </row>
    <row r="13">
      <c r="A13" s="81">
        <f>IF(支払先マスタ!A13="","",支払先マスタ!A13)</f>
        <v/>
      </c>
      <c r="B13" s="76">
        <f>IF(COUNT(C13:Y13)=0,"",SUM(C13:Y13))</f>
        <v/>
      </c>
      <c r="C13" s="75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4" t="n"/>
    </row>
    <row r="14">
      <c r="A14" s="81">
        <f>IF(支払先マスタ!A14="","",支払先マスタ!A14)</f>
        <v/>
      </c>
      <c r="B14" s="76">
        <f>IF(COUNT(C14:Y14)=0,"",SUM(C14:Y14))</f>
        <v/>
      </c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4" t="n"/>
    </row>
    <row r="15">
      <c r="A15" s="74">
        <f>IF(支払先マスタ!A15="","",支払先マスタ!A15)</f>
        <v/>
      </c>
      <c r="B15" s="76">
        <f>IF(COUNT(C15:Y15)=0,"",SUM(C15:Y15))</f>
        <v/>
      </c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4" t="n"/>
    </row>
    <row r="16">
      <c r="A16" s="74">
        <f>IF(支払先マスタ!A16="","",支払先マスタ!A16)</f>
        <v/>
      </c>
      <c r="B16" s="76">
        <f>IF(COUNT(C16:Y16)=0,"",SUM(C16:Y16))</f>
        <v/>
      </c>
      <c r="C16" s="75" t="n"/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4" t="n"/>
    </row>
    <row r="17">
      <c r="A17" s="74">
        <f>IF(支払先マスタ!A17="","",支払先マスタ!A17)</f>
        <v/>
      </c>
      <c r="B17" s="76">
        <f>IF(COUNT(C17:Y17)=0,"",SUM(C17:Y17))</f>
        <v/>
      </c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4" t="n"/>
    </row>
    <row r="18">
      <c r="A18" s="74">
        <f>IF(支払先マスタ!A18="","",支払先マスタ!A18)</f>
        <v/>
      </c>
      <c r="B18" s="76">
        <f>IF(COUNT(C18:Y18)=0,"",SUM(C18:Y18))</f>
        <v/>
      </c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4" t="n"/>
    </row>
    <row r="19">
      <c r="A19" s="74">
        <f>IF(支払先マスタ!A19="","",支払先マスタ!A19)</f>
        <v/>
      </c>
      <c r="B19" s="76">
        <f>IF(COUNT(C19:Y19)=0,"",SUM(C19:Y19))</f>
        <v/>
      </c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4" t="n"/>
    </row>
    <row r="20">
      <c r="A20" s="81">
        <f>IF(支払先マスタ!A20="","",支払先マスタ!A20)</f>
        <v/>
      </c>
      <c r="B20" s="76">
        <f>IF(COUNT(C20:Y20)=0,"",SUM(C20:Y20))</f>
        <v/>
      </c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4" t="n"/>
    </row>
    <row r="21">
      <c r="A21" s="81">
        <f>IF(支払先マスタ!A21="","",支払先マスタ!A21)</f>
        <v/>
      </c>
      <c r="B21" s="76">
        <f>IF(COUNT(C21:Y21)=0,"",SUM(C21:Y21))</f>
        <v/>
      </c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4" t="n"/>
    </row>
    <row r="22">
      <c r="A22" s="81">
        <f>IF(支払先マスタ!A22="","",支払先マスタ!A22)</f>
        <v/>
      </c>
      <c r="B22" s="76">
        <f>IF(COUNT(C22:Y22)=0,"",SUM(C22:Y22))</f>
        <v/>
      </c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4" t="n"/>
    </row>
    <row r="23">
      <c r="A23" s="81">
        <f>IF(支払先マスタ!A23="","",支払先マスタ!A23)</f>
        <v/>
      </c>
      <c r="B23" s="76">
        <f>IF(COUNT(C23:Y23)=0,"",SUM(C23:Y23))</f>
        <v/>
      </c>
      <c r="C23" s="75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4" t="n"/>
    </row>
    <row r="24">
      <c r="A24" s="74">
        <f>IF(支払先マスタ!A24="","",支払先マスタ!A24)</f>
        <v/>
      </c>
      <c r="B24" s="76">
        <f>IF(COUNT(C24:Y24)=0,"",SUM(C24:Y24))</f>
        <v/>
      </c>
      <c r="C24" s="75" t="n"/>
      <c r="D24" s="75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4" t="n"/>
    </row>
    <row r="25">
      <c r="A25" s="74">
        <f>IF(支払先マスタ!A25="","",支払先マスタ!A25)</f>
        <v/>
      </c>
      <c r="B25" s="76">
        <f>IF(COUNT(C25:Y25)=0,"",SUM(C25:Y25))</f>
        <v/>
      </c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4" t="n"/>
    </row>
    <row r="26">
      <c r="A26" s="74">
        <f>IF(支払先マスタ!A26="","",支払先マスタ!A26)</f>
        <v/>
      </c>
      <c r="B26" s="76">
        <f>IF(COUNT(C26:Y26)=0,"",SUM(C26:Y26))</f>
        <v/>
      </c>
      <c r="C26" s="75" t="n"/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4" t="n"/>
    </row>
    <row r="27">
      <c r="A27" s="74">
        <f>IF(支払先マスタ!A27="","",支払先マスタ!A27)</f>
        <v/>
      </c>
      <c r="B27" s="76">
        <f>IF(COUNT(C27:Y27)=0,"",SUM(C27:Y27))</f>
        <v/>
      </c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4" t="n"/>
    </row>
    <row r="28">
      <c r="A28" s="74">
        <f>IF(支払先マスタ!A28="","",支払先マスタ!A28)</f>
        <v/>
      </c>
      <c r="B28" s="76">
        <f>IF(COUNT(C28:Y28)=0,"",SUM(C28:Y28))</f>
        <v/>
      </c>
      <c r="C28" s="75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4" t="n"/>
    </row>
    <row r="29">
      <c r="A29" s="81">
        <f>IF(支払先マスタ!A29="","",支払先マスタ!A29)</f>
        <v/>
      </c>
      <c r="B29" s="76">
        <f>IF(COUNT(C29:Y29)=0,"",SUM(C29:Y29))</f>
        <v/>
      </c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4" t="n"/>
    </row>
    <row r="30">
      <c r="A30" s="81">
        <f>IF(支払先マスタ!A30="","",支払先マスタ!A30)</f>
        <v/>
      </c>
      <c r="B30" s="76">
        <f>IF(COUNT(C30:Y30)=0,"",SUM(C30:Y30))</f>
        <v/>
      </c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4" t="n"/>
    </row>
    <row r="31">
      <c r="A31" s="81">
        <f>IF(支払先マスタ!A31="","",支払先マスタ!A31)</f>
        <v/>
      </c>
      <c r="B31" s="76">
        <f>IF(COUNT(C31:Y31)=0,"",SUM(C31:Y31))</f>
        <v/>
      </c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4" t="n"/>
    </row>
    <row r="32">
      <c r="A32" s="74">
        <f>IF(支払先マスタ!A32="","",支払先マスタ!A32)</f>
        <v/>
      </c>
      <c r="B32" s="76">
        <f>IF(COUNT(C32:Y32)=0,"",SUM(C32:Y32))</f>
        <v/>
      </c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4" t="n"/>
    </row>
    <row r="33">
      <c r="A33" s="81">
        <f>IF(支払先マスタ!A33="","",支払先マスタ!A33)</f>
        <v/>
      </c>
      <c r="B33" s="76">
        <f>IF(COUNT(C33:Y33)=0,"",SUM(C33:Y33))</f>
        <v/>
      </c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4" t="n"/>
    </row>
    <row r="34">
      <c r="A34" s="74">
        <f>IF(支払先マスタ!A34="","",支払先マスタ!A34)</f>
        <v/>
      </c>
      <c r="B34" s="76">
        <f>IF(COUNT(C34:Y34)=0,"",SUM(C34:Y34))</f>
        <v/>
      </c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4" t="n"/>
    </row>
    <row r="35">
      <c r="A35" s="81">
        <f>IF(支払先マスタ!A35="","",支払先マスタ!A35)</f>
        <v/>
      </c>
      <c r="B35" s="76">
        <f>IF(COUNT(C35:Y35)=0,"",SUM(C35:Y35))</f>
        <v/>
      </c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4" t="n"/>
    </row>
    <row r="36">
      <c r="A36" s="81">
        <f>IF(支払先マスタ!A36="","",支払先マスタ!A36)</f>
        <v/>
      </c>
      <c r="B36" s="76">
        <f>IF(COUNT(C36:Y36)=0,"",SUM(C36:Y36))</f>
        <v/>
      </c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4" t="n"/>
    </row>
    <row r="37">
      <c r="A37" s="81">
        <f>IF(支払先マスタ!A37="","",支払先マスタ!A37)</f>
        <v/>
      </c>
      <c r="B37" s="76">
        <f>IF(COUNT(C37:Y37)=0,"",SUM(C37:Y37))</f>
        <v/>
      </c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4" t="n"/>
    </row>
    <row r="38">
      <c r="A38" s="81">
        <f>IF(支払先マスタ!A38="","",支払先マスタ!A38)</f>
        <v/>
      </c>
      <c r="B38" s="76">
        <f>IF(COUNT(C38:Y38)=0,"",SUM(C38:Y38))</f>
        <v/>
      </c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4" t="n"/>
    </row>
    <row r="39">
      <c r="A39" s="81">
        <f>IF(支払先マスタ!A39="","",支払先マスタ!A39)</f>
        <v/>
      </c>
      <c r="B39" s="76">
        <f>IF(COUNT(C39:Y39)=0,"",SUM(C39:Y39))</f>
        <v/>
      </c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4" t="n"/>
    </row>
    <row r="40">
      <c r="A40" s="81">
        <f>IF(支払先マスタ!A40="","",支払先マスタ!A40)</f>
        <v/>
      </c>
      <c r="B40" s="76">
        <f>IF(COUNT(C40:Y40)=0,"",SUM(C40:Y40))</f>
        <v/>
      </c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4" t="n"/>
    </row>
    <row r="41">
      <c r="A41" s="74">
        <f>IF(支払先マスタ!A41="","",支払先マスタ!A41)</f>
        <v/>
      </c>
      <c r="B41" s="76">
        <f>IF(COUNT(C41:Y41)=0,"",SUM(C41:Y41))</f>
        <v/>
      </c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4" t="n"/>
    </row>
    <row r="42">
      <c r="A42" s="74">
        <f>IF(支払先マスタ!A42="","",支払先マスタ!A42)</f>
        <v/>
      </c>
      <c r="B42" s="76">
        <f>IF(COUNT(C42:Y42)=0,"",SUM(C42:Y42))</f>
        <v/>
      </c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4" t="n"/>
    </row>
    <row r="43">
      <c r="A43" s="74">
        <f>IF(支払先マスタ!A43="","",支払先マスタ!A43)</f>
        <v/>
      </c>
      <c r="B43" s="76">
        <f>IF(COUNT(C43:Y43)=0,"",SUM(C43:Y43))</f>
        <v/>
      </c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4" t="n"/>
    </row>
    <row r="44">
      <c r="A44" s="74">
        <f>IF(支払先マスタ!A44="","",支払先マスタ!A44)</f>
        <v/>
      </c>
      <c r="B44" s="76">
        <f>IF(COUNT(C44:Y44)=0,"",SUM(C44:Y44))</f>
        <v/>
      </c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4" t="n"/>
    </row>
    <row r="45">
      <c r="A45" s="74">
        <f>IF(支払先マスタ!A45="","",支払先マスタ!A45)</f>
        <v/>
      </c>
      <c r="B45" s="76">
        <f>IF(COUNT(C45:Y45)=0,"",SUM(C45:Y45))</f>
        <v/>
      </c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4" t="n"/>
    </row>
    <row r="46">
      <c r="A46" s="74">
        <f>IF(支払先マスタ!A46="","",支払先マスタ!A46)</f>
        <v/>
      </c>
      <c r="B46" s="76">
        <f>IF(COUNT(C46:Y46)=0,"",SUM(C46:Y46))</f>
        <v/>
      </c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4" t="n"/>
    </row>
    <row r="47">
      <c r="A47" s="74">
        <f>IF(支払先マスタ!A47="","",支払先マスタ!A47)</f>
        <v/>
      </c>
      <c r="B47" s="76">
        <f>IF(COUNT(C47:Y47)=0,"",SUM(C47:Y47))</f>
        <v/>
      </c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4" t="n"/>
    </row>
    <row r="48">
      <c r="A48" s="74">
        <f>IF(支払先マスタ!A48="","",支払先マスタ!A48)</f>
        <v/>
      </c>
      <c r="B48" s="76">
        <f>IF(COUNT(C48:Y48)=0,"",SUM(C48:Y48))</f>
        <v/>
      </c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4" t="n"/>
    </row>
    <row r="49">
      <c r="A49" s="74">
        <f>IF(支払先マスタ!A49="","",支払先マスタ!A49)</f>
        <v/>
      </c>
      <c r="B49" s="76">
        <f>IF(COUNT(C49:Y49)=0,"",SUM(C49:Y49))</f>
        <v/>
      </c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4" t="n"/>
    </row>
    <row r="50">
      <c r="A50" s="74">
        <f>IF(支払先マスタ!A50="","",支払先マスタ!A50)</f>
        <v/>
      </c>
      <c r="B50" s="76">
        <f>IF(COUNT(C50:Y50)=0,"",SUM(C50:Y50))</f>
        <v/>
      </c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4" t="n"/>
    </row>
    <row r="51">
      <c r="A51" s="74">
        <f>IF(支払先マスタ!A51="","",支払先マスタ!A51)</f>
        <v/>
      </c>
      <c r="B51" s="76">
        <f>IF(COUNT(C51:Y51)=0,"",SUM(C51:Y51))</f>
        <v/>
      </c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4" t="n"/>
    </row>
    <row r="52">
      <c r="A52" s="74">
        <f>IF(支払先マスタ!A52="","",支払先マスタ!A52)</f>
        <v/>
      </c>
      <c r="B52" s="76">
        <f>IF(COUNT(C52:Y52)=0,"",SUM(C52:Y52))</f>
        <v/>
      </c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4" t="n"/>
    </row>
    <row r="53">
      <c r="A53" s="74">
        <f>IF(支払先マスタ!A53="","",支払先マスタ!A53)</f>
        <v/>
      </c>
      <c r="B53" s="76">
        <f>IF(COUNT(C53:Y53)=0,"",SUM(C53:Y53))</f>
        <v/>
      </c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4" t="n"/>
    </row>
    <row r="54">
      <c r="A54" s="74">
        <f>IF(支払先マスタ!A54="","",支払先マスタ!A54)</f>
        <v/>
      </c>
      <c r="B54" s="76">
        <f>IF(COUNT(C54:Y54)=0,"",SUM(C54:Y54))</f>
        <v/>
      </c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4" t="n"/>
    </row>
    <row r="55">
      <c r="A55" s="74">
        <f>IF(支払先マスタ!A55="","",支払先マスタ!A55)</f>
        <v/>
      </c>
      <c r="B55" s="76">
        <f>IF(COUNT(C55:Y55)=0,"",SUM(C55:Y55))</f>
        <v/>
      </c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4" t="n"/>
    </row>
    <row r="56">
      <c r="A56" s="77" t="inlineStr">
        <is>
          <t>合計</t>
        </is>
      </c>
      <c r="B56" s="78">
        <f>IF(COUNT(B3:B55)=0,"",SUM(B3:B55))</f>
        <v/>
      </c>
      <c r="C56" s="78">
        <f>IF(COUNT(C3:C55)=0,"",SUM(C3:C55))</f>
        <v/>
      </c>
      <c r="D56" s="78">
        <f>IF(COUNT(D3:D55)=0,"",SUM(D3:D55))</f>
        <v/>
      </c>
      <c r="E56" s="78">
        <f>IF(COUNT(E3:E55)=0,"",SUM(E3:E55))</f>
        <v/>
      </c>
      <c r="F56" s="78">
        <f>IF(COUNT(F3:F55)=0,"",SUM(F3:F55))</f>
        <v/>
      </c>
      <c r="G56" s="78">
        <f>IF(COUNT(G3:G55)=0,"",SUM(G3:G55))</f>
        <v/>
      </c>
      <c r="H56" s="78">
        <f>IF(COUNT(H3:H55)=0,"",SUM(H3:H55))</f>
        <v/>
      </c>
      <c r="I56" s="78">
        <f>IF(COUNT(I3:I55)=0,"",SUM(I3:I55))</f>
        <v/>
      </c>
      <c r="J56" s="78">
        <f>IF(COUNT(J3:J55)=0,"",SUM(J3:J55))</f>
        <v/>
      </c>
      <c r="K56" s="78">
        <f>IF(COUNT(K3:K55)=0,"",SUM(K3:K55))</f>
        <v/>
      </c>
      <c r="L56" s="78">
        <f>IF(COUNT(L3:L55)=0,"",SUM(L3:L55))</f>
        <v/>
      </c>
      <c r="M56" s="78">
        <f>IF(COUNT(M3:M55)=0,"",SUM(M3:M55))</f>
        <v/>
      </c>
      <c r="N56" s="78">
        <f>IF(COUNT(N3:N55)=0,"",SUM(N3:N55))</f>
        <v/>
      </c>
      <c r="O56" s="78">
        <f>IF(COUNT(O3:O55)=0,"",SUM(O3:O55))</f>
        <v/>
      </c>
      <c r="P56" s="78">
        <f>IF(COUNT(P3:P55)=0,"",SUM(P3:P55))</f>
        <v/>
      </c>
      <c r="Q56" s="78">
        <f>IF(COUNT(Q3:Q55)=0,"",SUM(Q3:Q55))</f>
        <v/>
      </c>
      <c r="R56" s="78">
        <f>IF(COUNT(R3:R55)=0,"",SUM(R3:R55))</f>
        <v/>
      </c>
      <c r="S56" s="78">
        <f>IF(COUNT(S3:S55)=0,"",SUM(S3:S55))</f>
        <v/>
      </c>
      <c r="T56" s="78">
        <f>IF(COUNT(T3:T55)=0,"",SUM(T3:T55))</f>
        <v/>
      </c>
      <c r="U56" s="78">
        <f>IF(COUNT(U3:U55)=0,"",SUM(U3:U55))</f>
        <v/>
      </c>
      <c r="V56" s="78">
        <f>IF(COUNT(V3:V55)=0,"",SUM(V3:V55))</f>
        <v/>
      </c>
      <c r="W56" s="78">
        <f>IF(COUNT(W3:W55)=0,"",SUM(W3:W55))</f>
        <v/>
      </c>
      <c r="X56" s="78">
        <f>IF(COUNT(X3:X55)=0,"",SUM(X3:X55))</f>
        <v/>
      </c>
      <c r="Y56" s="78">
        <f>IF(COUNT(Y3:Y55)=0,"",SUM(Y3:Y55))</f>
        <v/>
      </c>
      <c r="Z56" s="7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32" customWidth="1" min="4" max="4"/>
    <col width="18" customWidth="1" min="5" max="5"/>
  </cols>
  <sheetData>
    <row r="1">
      <c r="A1" s="82" t="inlineStr">
        <is>
          <t>支払先マスタ（ここに追記すると全ての月シートに行が増えます）</t>
        </is>
      </c>
    </row>
    <row r="2">
      <c r="A2" s="73" t="inlineStr">
        <is>
          <t>支払先</t>
        </is>
      </c>
      <c r="B2" s="73" t="inlineStr">
        <is>
          <t>勘定科目（区分）</t>
        </is>
      </c>
      <c r="C2" s="73" t="inlineStr">
        <is>
          <t>銀行（参考）</t>
        </is>
      </c>
      <c r="D2" s="73" t="inlineStr">
        <is>
          <t>備考</t>
        </is>
      </c>
      <c r="E2" s="73" t="inlineStr">
        <is>
          <t>媒体</t>
        </is>
      </c>
    </row>
    <row r="3">
      <c r="A3" s="74" t="inlineStr">
        <is>
          <t>レオパレス２１</t>
        </is>
      </c>
      <c r="B3" s="74" t="inlineStr">
        <is>
          <t>賃借料</t>
        </is>
      </c>
      <c r="C3" s="74" t="inlineStr">
        <is>
          <t>みずほ銀行</t>
        </is>
      </c>
      <c r="D3" s="74" t="inlineStr"/>
      <c r="E3" s="74" t="inlineStr">
        <is>
          <t>ダウンロード</t>
        </is>
      </c>
    </row>
    <row r="4">
      <c r="A4" s="74" t="inlineStr">
        <is>
          <t>マサヨ(越谷)</t>
        </is>
      </c>
      <c r="B4" s="74" t="inlineStr">
        <is>
          <t>賃借料</t>
        </is>
      </c>
      <c r="C4" s="74" t="inlineStr">
        <is>
          <t>みずほ銀行</t>
        </is>
      </c>
      <c r="D4" s="74" t="inlineStr">
        <is>
          <t>駐車場</t>
        </is>
      </c>
      <c r="E4" s="74" t="inlineStr">
        <is>
          <t>なし</t>
        </is>
      </c>
    </row>
    <row r="5">
      <c r="A5" s="74" t="inlineStr">
        <is>
          <t>ヨシテル(越谷)</t>
        </is>
      </c>
      <c r="B5" s="74" t="inlineStr">
        <is>
          <t>賃借料</t>
        </is>
      </c>
      <c r="C5" s="74" t="inlineStr">
        <is>
          <t>みずほ銀行</t>
        </is>
      </c>
      <c r="D5" s="74" t="inlineStr">
        <is>
          <t>駐車場</t>
        </is>
      </c>
      <c r="E5" s="74" t="inlineStr">
        <is>
          <t>なし</t>
        </is>
      </c>
    </row>
    <row r="6">
      <c r="A6" s="74" t="inlineStr">
        <is>
          <t>ヨシテル(三郷)</t>
        </is>
      </c>
      <c r="B6" s="74" t="inlineStr">
        <is>
          <t>賃借料</t>
        </is>
      </c>
      <c r="C6" s="74" t="inlineStr">
        <is>
          <t>みずほ銀行</t>
        </is>
      </c>
      <c r="D6" s="74" t="inlineStr">
        <is>
          <t>駐車場</t>
        </is>
      </c>
      <c r="E6" s="74" t="inlineStr">
        <is>
          <t>なし</t>
        </is>
      </c>
    </row>
    <row r="7">
      <c r="A7" s="74" t="inlineStr">
        <is>
          <t>中沢酒造株式会社</t>
        </is>
      </c>
      <c r="B7" s="74" t="inlineStr">
        <is>
          <t>賃借料</t>
        </is>
      </c>
      <c r="C7" s="74" t="inlineStr">
        <is>
          <t>みずほ銀行</t>
        </is>
      </c>
      <c r="D7" s="74" t="inlineStr">
        <is>
          <t>前払い足柄店駐車場10台</t>
        </is>
      </c>
      <c r="E7" s="74" t="inlineStr">
        <is>
          <t>なし</t>
        </is>
      </c>
    </row>
    <row r="8">
      <c r="A8" s="74" t="inlineStr">
        <is>
          <t>丸福企画</t>
        </is>
      </c>
      <c r="B8" s="74" t="inlineStr">
        <is>
          <t>賃借料</t>
        </is>
      </c>
      <c r="C8" s="74" t="inlineStr">
        <is>
          <t>みずほ銀行</t>
        </is>
      </c>
      <c r="D8" s="74" t="inlineStr">
        <is>
          <t>駐車場</t>
        </is>
      </c>
      <c r="E8" s="74" t="inlineStr">
        <is>
          <t>なし</t>
        </is>
      </c>
    </row>
    <row r="9">
      <c r="A9" s="74" t="inlineStr">
        <is>
          <t>豊田駐車場(孝司)</t>
        </is>
      </c>
      <c r="B9" s="74" t="inlineStr">
        <is>
          <t>賃借料</t>
        </is>
      </c>
      <c r="C9" s="74" t="inlineStr">
        <is>
          <t>みずほ銀行／武蔵野銀行</t>
        </is>
      </c>
      <c r="D9" s="74" t="inlineStr">
        <is>
          <t>駐車場</t>
        </is>
      </c>
      <c r="E9" s="74" t="inlineStr">
        <is>
          <t>なし</t>
        </is>
      </c>
    </row>
    <row r="10">
      <c r="A10" s="74" t="inlineStr">
        <is>
          <t>山脇土地</t>
        </is>
      </c>
      <c r="B10" s="74" t="inlineStr">
        <is>
          <t>賃借料</t>
        </is>
      </c>
      <c r="C10" s="74" t="inlineStr">
        <is>
          <t>みずほ銀行／武蔵野銀行</t>
        </is>
      </c>
      <c r="D10" s="74" t="inlineStr">
        <is>
          <t>駐車場</t>
        </is>
      </c>
      <c r="E10" s="74" t="inlineStr">
        <is>
          <t>なし</t>
        </is>
      </c>
    </row>
    <row r="11">
      <c r="A11" s="74" t="inlineStr">
        <is>
          <t>ヤナセ住販</t>
        </is>
      </c>
      <c r="B11" s="74" t="inlineStr">
        <is>
          <t>賃借料</t>
        </is>
      </c>
      <c r="C11" s="74" t="inlineStr">
        <is>
          <t>みずほ銀行／武蔵野銀行</t>
        </is>
      </c>
      <c r="D11" s="74" t="inlineStr">
        <is>
          <t>駐車場</t>
        </is>
      </c>
      <c r="E11" s="74" t="inlineStr">
        <is>
          <t>なし</t>
        </is>
      </c>
    </row>
    <row r="12">
      <c r="A12" s="74" t="inlineStr">
        <is>
          <t>大栄不動産</t>
        </is>
      </c>
      <c r="B12" s="74" t="inlineStr">
        <is>
          <t>賃借料</t>
        </is>
      </c>
      <c r="C12" s="74" t="inlineStr">
        <is>
          <t>みずほ銀行／武蔵野銀行</t>
        </is>
      </c>
      <c r="D12" s="74" t="inlineStr">
        <is>
          <t>駐車場</t>
        </is>
      </c>
      <c r="E12" s="74" t="inlineStr">
        <is>
          <t>なし</t>
        </is>
      </c>
    </row>
    <row r="13">
      <c r="A13" s="74" t="inlineStr">
        <is>
          <t>林 横浜駐車場</t>
        </is>
      </c>
      <c r="B13" s="74" t="inlineStr">
        <is>
          <t>賃借料</t>
        </is>
      </c>
      <c r="C13" s="74" t="inlineStr">
        <is>
          <t>みずほ銀行／武蔵野銀行</t>
        </is>
      </c>
      <c r="D13" s="74" t="inlineStr">
        <is>
          <t>駐車場</t>
        </is>
      </c>
      <c r="E13" s="74" t="inlineStr">
        <is>
          <t>なし</t>
        </is>
      </c>
    </row>
    <row r="14">
      <c r="A14" s="74" t="inlineStr">
        <is>
          <t>大東建託</t>
        </is>
      </c>
      <c r="B14" s="74" t="inlineStr">
        <is>
          <t>賃借料</t>
        </is>
      </c>
      <c r="C14" s="74" t="inlineStr">
        <is>
          <t>みずほ銀行／武蔵野銀行</t>
        </is>
      </c>
      <c r="D14" s="74" t="inlineStr">
        <is>
          <t>アパート</t>
        </is>
      </c>
      <c r="E14" s="74" t="inlineStr">
        <is>
          <t>なし</t>
        </is>
      </c>
    </row>
    <row r="15">
      <c r="A15" s="74" t="inlineStr">
        <is>
          <t>住友林業アーキテクノ</t>
        </is>
      </c>
      <c r="B15" s="74" t="inlineStr">
        <is>
          <t>修繕費</t>
        </is>
      </c>
      <c r="C15" s="74" t="inlineStr">
        <is>
          <t>みずほ銀行</t>
        </is>
      </c>
      <c r="D15" s="74" t="inlineStr">
        <is>
          <t>ガス管破損修繕費用負担　8/5振込</t>
        </is>
      </c>
      <c r="E15" s="74" t="inlineStr">
        <is>
          <t>郵送</t>
        </is>
      </c>
    </row>
    <row r="16">
      <c r="A16" s="74" t="inlineStr">
        <is>
          <t>梅田自動車</t>
        </is>
      </c>
      <c r="B16" s="74" t="inlineStr">
        <is>
          <t>修繕費</t>
        </is>
      </c>
      <c r="C16" s="74" t="inlineStr">
        <is>
          <t>武蔵野銀行</t>
        </is>
      </c>
      <c r="D16" s="74" t="inlineStr">
        <is>
          <t>車両修理</t>
        </is>
      </c>
      <c r="E16" s="74" t="inlineStr">
        <is>
          <t>郵送</t>
        </is>
      </c>
    </row>
    <row r="17">
      <c r="A17" s="74" t="inlineStr">
        <is>
          <t>平田自動車工業㈱</t>
        </is>
      </c>
      <c r="B17" s="74" t="inlineStr">
        <is>
          <t>修繕費</t>
        </is>
      </c>
      <c r="C17" s="74" t="inlineStr">
        <is>
          <t>武蔵野銀行</t>
        </is>
      </c>
      <c r="D17" s="74" t="inlineStr">
        <is>
          <t>車両修理</t>
        </is>
      </c>
      <c r="E17" s="74" t="inlineStr">
        <is>
          <t>郵送</t>
        </is>
      </c>
    </row>
    <row r="18">
      <c r="A18" s="74" t="inlineStr">
        <is>
          <t>日東精工</t>
        </is>
      </c>
      <c r="B18" s="74" t="inlineStr">
        <is>
          <t>修繕費</t>
        </is>
      </c>
      <c r="C18" s="74" t="inlineStr">
        <is>
          <t>武蔵野銀行</t>
        </is>
      </c>
      <c r="D18" s="74" t="inlineStr">
        <is>
          <t>ジオカルテ修理</t>
        </is>
      </c>
      <c r="E18" s="74" t="inlineStr">
        <is>
          <t>メール</t>
        </is>
      </c>
    </row>
    <row r="19">
      <c r="A19" s="74" t="inlineStr">
        <is>
          <t>合同会社 U-link</t>
        </is>
      </c>
      <c r="B19" s="74" t="inlineStr">
        <is>
          <t>修繕費</t>
        </is>
      </c>
      <c r="C19" s="74" t="inlineStr">
        <is>
          <t>武蔵野銀行</t>
        </is>
      </c>
      <c r="D19" s="74" t="inlineStr">
        <is>
          <t>空調設備</t>
        </is>
      </c>
      <c r="E19" s="74" t="inlineStr">
        <is>
          <t>郵送</t>
        </is>
      </c>
    </row>
    <row r="20">
      <c r="A20" s="74" t="inlineStr">
        <is>
          <t>アンナカ</t>
        </is>
      </c>
      <c r="B20" s="74" t="inlineStr">
        <is>
          <t>消耗品費</t>
        </is>
      </c>
      <c r="C20" s="74" t="inlineStr">
        <is>
          <t>武蔵野銀行</t>
        </is>
      </c>
      <c r="D20" s="74" t="inlineStr">
        <is>
          <t>測量機器</t>
        </is>
      </c>
      <c r="E20" s="74" t="inlineStr">
        <is>
          <t>info@にメール</t>
        </is>
      </c>
    </row>
    <row r="21">
      <c r="A21" s="74" t="inlineStr">
        <is>
          <t>GEプランニング</t>
        </is>
      </c>
      <c r="B21" s="74" t="inlineStr">
        <is>
          <t>消耗品費</t>
        </is>
      </c>
      <c r="C21" s="74" t="inlineStr">
        <is>
          <t>武蔵野銀行</t>
        </is>
      </c>
      <c r="D21" s="74" t="inlineStr">
        <is>
          <t>地盤機器</t>
        </is>
      </c>
      <c r="E21" s="74" t="inlineStr"/>
    </row>
    <row r="22">
      <c r="A22" s="74" t="inlineStr">
        <is>
          <t>埼玉測器社</t>
        </is>
      </c>
      <c r="B22" s="74" t="inlineStr">
        <is>
          <t>消耗品費</t>
        </is>
      </c>
      <c r="C22" s="74" t="inlineStr">
        <is>
          <t>武蔵野銀行</t>
        </is>
      </c>
      <c r="D22" s="74" t="inlineStr">
        <is>
          <t>測量機器</t>
        </is>
      </c>
      <c r="E22" s="74" t="inlineStr">
        <is>
          <t>郵送</t>
        </is>
      </c>
    </row>
    <row r="23">
      <c r="A23" s="74" t="inlineStr">
        <is>
          <t>ワークマン吉川</t>
        </is>
      </c>
      <c r="B23" s="74" t="inlineStr">
        <is>
          <t>消耗品費</t>
        </is>
      </c>
      <c r="C23" s="74" t="inlineStr">
        <is>
          <t>武蔵野銀行</t>
        </is>
      </c>
      <c r="D23" s="74" t="inlineStr">
        <is>
          <t>作業着他</t>
        </is>
      </c>
      <c r="E23" s="74" t="inlineStr">
        <is>
          <t>郵送</t>
        </is>
      </c>
    </row>
    <row r="24">
      <c r="A24" s="74" t="inlineStr">
        <is>
          <t>三郷中央クリニック</t>
        </is>
      </c>
      <c r="B24" s="74" t="inlineStr">
        <is>
          <t>雑費</t>
        </is>
      </c>
      <c r="C24" s="74" t="inlineStr">
        <is>
          <t>みずほ銀行／武蔵野銀行</t>
        </is>
      </c>
      <c r="D24" s="74" t="inlineStr">
        <is>
          <t>産業医</t>
        </is>
      </c>
      <c r="E24" s="74" t="inlineStr">
        <is>
          <t>なし</t>
        </is>
      </c>
    </row>
    <row r="25">
      <c r="A25" s="74" t="inlineStr">
        <is>
          <t>㈱オプティム</t>
        </is>
      </c>
      <c r="B25" s="74" t="inlineStr">
        <is>
          <t>雑費</t>
        </is>
      </c>
      <c r="C25" s="74" t="inlineStr">
        <is>
          <t>武蔵野銀行</t>
        </is>
      </c>
      <c r="D25" s="74" t="inlineStr">
        <is>
          <t>GEOスキャンライセンス</t>
        </is>
      </c>
      <c r="E25" s="74" t="inlineStr">
        <is>
          <t>郵送</t>
        </is>
      </c>
    </row>
    <row r="26">
      <c r="A26" s="74" t="inlineStr">
        <is>
          <t>木下フレンド</t>
        </is>
      </c>
      <c r="B26" s="74" t="inlineStr">
        <is>
          <t>雑費</t>
        </is>
      </c>
      <c r="C26" s="74" t="inlineStr">
        <is>
          <t>武蔵野銀行</t>
        </is>
      </c>
      <c r="D26" s="74" t="inlineStr">
        <is>
          <t>所沢産廃</t>
        </is>
      </c>
      <c r="E26" s="74" t="inlineStr">
        <is>
          <t>メール</t>
        </is>
      </c>
    </row>
    <row r="27">
      <c r="A27" s="74" t="inlineStr">
        <is>
          <t>島村興産</t>
        </is>
      </c>
      <c r="B27" s="74" t="inlineStr">
        <is>
          <t>雑費</t>
        </is>
      </c>
      <c r="C27" s="74" t="inlineStr">
        <is>
          <t>武蔵野銀行</t>
        </is>
      </c>
      <c r="D27" s="74" t="inlineStr">
        <is>
          <t>三郷産廃</t>
        </is>
      </c>
      <c r="E27" s="74" t="inlineStr">
        <is>
          <t>郵送</t>
        </is>
      </c>
    </row>
    <row r="28">
      <c r="A28" s="74" t="inlineStr">
        <is>
          <t>地盤審査補償事業</t>
        </is>
      </c>
      <c r="B28" s="74" t="inlineStr">
        <is>
          <t>雑費</t>
        </is>
      </c>
      <c r="C28" s="74" t="inlineStr">
        <is>
          <t>武蔵野銀行</t>
        </is>
      </c>
      <c r="D28" s="74" t="inlineStr">
        <is>
          <t>物件登録料</t>
        </is>
      </c>
      <c r="E28" s="74" t="inlineStr">
        <is>
          <t>郵送</t>
        </is>
      </c>
    </row>
    <row r="29">
      <c r="A29" s="74" t="inlineStr">
        <is>
          <t>佐川急便　越谷</t>
        </is>
      </c>
      <c r="B29" s="74" t="inlineStr">
        <is>
          <t>通信費</t>
        </is>
      </c>
      <c r="C29" s="74" t="inlineStr">
        <is>
          <t>みずほ銀行</t>
        </is>
      </c>
      <c r="D29" s="74" t="inlineStr">
        <is>
          <t>みずほ第十集中</t>
        </is>
      </c>
      <c r="E29" s="74" t="inlineStr">
        <is>
          <t>ダウンロード</t>
        </is>
      </c>
    </row>
    <row r="30">
      <c r="A30" s="74" t="inlineStr">
        <is>
          <t>佐川急便　所沢</t>
        </is>
      </c>
      <c r="B30" s="74" t="inlineStr">
        <is>
          <t>通信費</t>
        </is>
      </c>
      <c r="C30" s="74" t="inlineStr">
        <is>
          <t>みずほ銀行</t>
        </is>
      </c>
      <c r="D30" s="74" t="inlineStr"/>
      <c r="E30" s="74" t="inlineStr">
        <is>
          <t>ダウンロード</t>
        </is>
      </c>
    </row>
    <row r="31">
      <c r="A31" s="74" t="inlineStr">
        <is>
          <t>佐川急便　横浜瀬谷</t>
        </is>
      </c>
      <c r="B31" s="74" t="inlineStr">
        <is>
          <t>通信費</t>
        </is>
      </c>
      <c r="C31" s="74" t="inlineStr">
        <is>
          <t>みずほ銀行</t>
        </is>
      </c>
      <c r="D31" s="74" t="inlineStr"/>
      <c r="E31" s="74" t="inlineStr">
        <is>
          <t>ダウンロード</t>
        </is>
      </c>
    </row>
    <row r="32">
      <c r="A32" s="74" t="inlineStr">
        <is>
          <t>レオパレスガス代</t>
        </is>
      </c>
      <c r="B32" s="74" t="inlineStr">
        <is>
          <t>水道光熱費</t>
        </is>
      </c>
      <c r="C32" s="74" t="inlineStr">
        <is>
          <t>みずほ銀行</t>
        </is>
      </c>
      <c r="D32" s="74" t="inlineStr"/>
      <c r="E32" s="74" t="inlineStr">
        <is>
          <t>メール</t>
        </is>
      </c>
    </row>
    <row r="33">
      <c r="A33" s="74" t="inlineStr">
        <is>
          <t>明治安田生命保険料</t>
        </is>
      </c>
      <c r="B33" s="74" t="inlineStr">
        <is>
          <t>保険積立金</t>
        </is>
      </c>
      <c r="C33" s="74" t="inlineStr">
        <is>
          <t>武蔵野銀行</t>
        </is>
      </c>
      <c r="D33" s="74" t="inlineStr"/>
      <c r="E33" s="74" t="inlineStr">
        <is>
          <t>郵送</t>
        </is>
      </c>
    </row>
    <row r="34">
      <c r="A34" s="74" t="inlineStr">
        <is>
          <t>エリアフォース</t>
        </is>
      </c>
      <c r="B34" s="74" t="inlineStr">
        <is>
          <t>広告宣伝費</t>
        </is>
      </c>
      <c r="C34" s="74" t="inlineStr">
        <is>
          <t>武蔵野銀行</t>
        </is>
      </c>
      <c r="D34" s="74" t="inlineStr">
        <is>
          <t>Indeed Plus掲載</t>
        </is>
      </c>
      <c r="E34" s="74" t="inlineStr">
        <is>
          <t>メールで問い合わせ中</t>
        </is>
      </c>
    </row>
    <row r="35">
      <c r="A35" s="74" t="inlineStr">
        <is>
          <t>アスクル(プラスロジテクス)</t>
        </is>
      </c>
      <c r="B35" s="74" t="inlineStr">
        <is>
          <t>複数科目</t>
        </is>
      </c>
      <c r="C35" s="74" t="inlineStr">
        <is>
          <t>みずほ銀行</t>
        </is>
      </c>
      <c r="D35" s="74" t="inlineStr">
        <is>
          <t>みずほ銀行</t>
        </is>
      </c>
      <c r="E35" s="74" t="inlineStr">
        <is>
          <t>郵送</t>
        </is>
      </c>
    </row>
    <row r="36">
      <c r="A36" s="74" t="inlineStr">
        <is>
          <t>小松車輛</t>
        </is>
      </c>
      <c r="B36" s="74" t="inlineStr">
        <is>
          <t>複数科目</t>
        </is>
      </c>
      <c r="C36" s="74" t="inlineStr">
        <is>
          <t>武蔵野銀行</t>
        </is>
      </c>
      <c r="D36" s="74" t="inlineStr">
        <is>
          <t>車両リース</t>
        </is>
      </c>
      <c r="E36" s="74" t="inlineStr">
        <is>
          <t>郵送</t>
        </is>
      </c>
    </row>
    <row r="37">
      <c r="A37" s="74" t="inlineStr">
        <is>
          <t>ニシネン砿油（セルヴィス）</t>
        </is>
      </c>
      <c r="B37" s="74" t="inlineStr">
        <is>
          <t>複数科目</t>
        </is>
      </c>
      <c r="C37" s="74" t="inlineStr">
        <is>
          <t>武蔵野銀行</t>
        </is>
      </c>
      <c r="D37" s="74" t="inlineStr">
        <is>
          <t>車両修理</t>
        </is>
      </c>
      <c r="E37" s="74" t="inlineStr">
        <is>
          <t>郵送</t>
        </is>
      </c>
    </row>
    <row r="38">
      <c r="A38" s="74" t="inlineStr">
        <is>
          <t>くるま屋　石本</t>
        </is>
      </c>
      <c r="B38" s="74" t="inlineStr">
        <is>
          <t>複数科目</t>
        </is>
      </c>
      <c r="C38" s="74" t="inlineStr">
        <is>
          <t>武蔵野銀行</t>
        </is>
      </c>
      <c r="D38" s="74" t="inlineStr">
        <is>
          <t>車両修理</t>
        </is>
      </c>
      <c r="E38" s="74" t="inlineStr">
        <is>
          <t>郵送</t>
        </is>
      </c>
    </row>
    <row r="39">
      <c r="A39" s="74" t="inlineStr">
        <is>
          <t>エムエス測器</t>
        </is>
      </c>
      <c r="B39" s="74" t="inlineStr">
        <is>
          <t>複数科目</t>
        </is>
      </c>
      <c r="C39" s="74" t="inlineStr">
        <is>
          <t>武蔵野銀行</t>
        </is>
      </c>
      <c r="D39" s="74" t="inlineStr"/>
      <c r="E39" s="74" t="inlineStr">
        <is>
          <t>郵送</t>
        </is>
      </c>
    </row>
    <row r="40">
      <c r="A40" s="74" t="inlineStr">
        <is>
          <t>滝本特殊溶接工業</t>
        </is>
      </c>
      <c r="B40" s="74" t="inlineStr">
        <is>
          <t>複数科目</t>
        </is>
      </c>
      <c r="C40" s="74" t="inlineStr">
        <is>
          <t>武蔵野銀行</t>
        </is>
      </c>
      <c r="D40" s="74" t="inlineStr">
        <is>
          <t>地盤機器修理</t>
        </is>
      </c>
      <c r="E40" s="74" t="inlineStr">
        <is>
          <t>郵送</t>
        </is>
      </c>
    </row>
    <row r="41">
      <c r="A41" s="74" t="n"/>
      <c r="B41" s="74" t="n"/>
      <c r="C41" s="74" t="n"/>
      <c r="D41" s="74" t="n"/>
      <c r="E41" s="74" t="n"/>
    </row>
    <row r="42">
      <c r="A42" s="74" t="n"/>
      <c r="B42" s="74" t="n"/>
      <c r="C42" s="74" t="n"/>
      <c r="D42" s="74" t="n"/>
      <c r="E42" s="74" t="n"/>
    </row>
    <row r="43">
      <c r="A43" s="74" t="n"/>
      <c r="B43" s="74" t="n"/>
      <c r="C43" s="74" t="n"/>
      <c r="D43" s="74" t="n"/>
      <c r="E43" s="74" t="n"/>
    </row>
    <row r="44">
      <c r="A44" s="74" t="n"/>
      <c r="B44" s="74" t="n"/>
      <c r="C44" s="74" t="n"/>
      <c r="D44" s="74" t="n"/>
      <c r="E44" s="74" t="n"/>
    </row>
    <row r="45">
      <c r="A45" s="74" t="n"/>
      <c r="B45" s="74" t="n"/>
      <c r="C45" s="74" t="n"/>
      <c r="D45" s="74" t="n"/>
      <c r="E45" s="74" t="n"/>
    </row>
    <row r="46">
      <c r="A46" s="74" t="n"/>
      <c r="B46" s="74" t="n"/>
      <c r="C46" s="74" t="n"/>
      <c r="D46" s="74" t="n"/>
      <c r="E46" s="74" t="n"/>
    </row>
    <row r="47">
      <c r="A47" s="74" t="n"/>
      <c r="B47" s="74" t="n"/>
      <c r="C47" s="74" t="n"/>
      <c r="D47" s="74" t="n"/>
      <c r="E47" s="74" t="n"/>
    </row>
    <row r="48">
      <c r="A48" s="74" t="n"/>
      <c r="B48" s="74" t="n"/>
      <c r="C48" s="74" t="n"/>
      <c r="D48" s="74" t="n"/>
      <c r="E48" s="74" t="n"/>
    </row>
    <row r="49">
      <c r="A49" s="74" t="n"/>
      <c r="B49" s="74" t="n"/>
      <c r="C49" s="74" t="n"/>
      <c r="D49" s="74" t="n"/>
      <c r="E49" s="74" t="n"/>
    </row>
    <row r="50">
      <c r="A50" s="74" t="n"/>
      <c r="B50" s="74" t="n"/>
      <c r="C50" s="74" t="n"/>
      <c r="D50" s="74" t="n"/>
      <c r="E50" s="74" t="n"/>
    </row>
    <row r="51">
      <c r="A51" s="74" t="n"/>
      <c r="B51" s="74" t="n"/>
      <c r="C51" s="74" t="n"/>
      <c r="D51" s="74" t="n"/>
      <c r="E51" s="74" t="n"/>
    </row>
    <row r="52">
      <c r="A52" s="74" t="n"/>
      <c r="B52" s="74" t="n"/>
      <c r="C52" s="74" t="n"/>
      <c r="D52" s="74" t="n"/>
      <c r="E52" s="74" t="n"/>
    </row>
    <row r="53">
      <c r="A53" s="74" t="n"/>
      <c r="B53" s="74" t="n"/>
      <c r="C53" s="74" t="n"/>
      <c r="D53" s="74" t="n"/>
      <c r="E53" s="74" t="n"/>
    </row>
    <row r="54">
      <c r="A54" s="74" t="n"/>
      <c r="B54" s="74" t="n"/>
      <c r="C54" s="74" t="n"/>
      <c r="D54" s="74" t="n"/>
      <c r="E54" s="74" t="n"/>
    </row>
    <row r="55">
      <c r="A55" s="74" t="n"/>
      <c r="B55" s="74" t="n"/>
      <c r="C55" s="74" t="n"/>
      <c r="D55" s="74" t="n"/>
      <c r="E55" s="74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zoomScaleNormal="100" workbookViewId="0">
      <pane ySplit="3" topLeftCell="A4" activePane="bottomLeft" state="frozen"/>
      <selection pane="bottomLeft" activeCell="C3" sqref="C3"/>
    </sheetView>
  </sheetViews>
  <sheetFormatPr baseColWidth="8" defaultColWidth="8.6640625" defaultRowHeight="18"/>
  <cols>
    <col width="34" customWidth="1" style="2" min="1" max="1"/>
    <col width="18.88671875" bestFit="1" customWidth="1" style="2" min="2" max="2"/>
    <col width="15.88671875" customWidth="1" style="2" min="3" max="3"/>
    <col width="14" customWidth="1" style="83" min="4" max="6"/>
    <col width="27.21875" customWidth="1" style="2" min="7" max="7"/>
    <col width="15" customWidth="1" style="2" min="8" max="8"/>
    <col width="8.6640625" customWidth="1" style="2" min="9" max="16384"/>
  </cols>
  <sheetData>
    <row r="1">
      <c r="A1" s="4" t="inlineStr">
        <is>
          <t>みずほ銀行</t>
        </is>
      </c>
      <c r="B1" s="4" t="n"/>
      <c r="C1" s="4" t="n"/>
    </row>
    <row r="3">
      <c r="A3" s="5" t="inlineStr">
        <is>
          <t>支払先</t>
        </is>
      </c>
      <c r="B3" s="5" t="inlineStr">
        <is>
          <t>勘定科目</t>
        </is>
      </c>
      <c r="C3" s="84" t="inlineStr">
        <is>
          <t>９月末</t>
        </is>
      </c>
      <c r="D3" s="84" t="inlineStr">
        <is>
          <t>８月末</t>
        </is>
      </c>
      <c r="E3" s="84" t="inlineStr">
        <is>
          <t>７月末</t>
        </is>
      </c>
      <c r="F3" s="84" t="inlineStr">
        <is>
          <t>６月末</t>
        </is>
      </c>
      <c r="G3" s="5" t="inlineStr">
        <is>
          <t>備考</t>
        </is>
      </c>
      <c r="H3" s="5" t="inlineStr">
        <is>
          <t>媒体</t>
        </is>
      </c>
    </row>
    <row r="4">
      <c r="A4" s="7" t="inlineStr">
        <is>
          <t>佐川急便　越谷</t>
        </is>
      </c>
      <c r="B4" s="8" t="inlineStr">
        <is>
          <t>通信費</t>
        </is>
      </c>
      <c r="C4" s="9" t="n"/>
      <c r="D4" s="85" t="n">
        <v>72056</v>
      </c>
      <c r="E4" s="86" t="n">
        <v>82367</v>
      </c>
      <c r="F4" s="86" t="n">
        <v>72308</v>
      </c>
      <c r="G4" s="7" t="inlineStr">
        <is>
          <t>みずほ第十集中</t>
        </is>
      </c>
      <c r="H4" s="7" t="inlineStr">
        <is>
          <t>ダウンロード</t>
        </is>
      </c>
    </row>
    <row r="5">
      <c r="A5" s="7" t="inlineStr">
        <is>
          <t>佐川急便　所沢</t>
        </is>
      </c>
      <c r="B5" s="8" t="inlineStr">
        <is>
          <t>通信費</t>
        </is>
      </c>
      <c r="C5" s="9" t="n"/>
      <c r="D5" s="85" t="n">
        <v>2178</v>
      </c>
      <c r="E5" s="87" t="n"/>
      <c r="F5" s="87" t="n"/>
      <c r="G5" s="7" t="n"/>
      <c r="H5" s="7" t="inlineStr">
        <is>
          <t>ダウンロード</t>
        </is>
      </c>
    </row>
    <row r="6">
      <c r="A6" s="7" t="inlineStr">
        <is>
          <t>佐川急便　横浜瀬谷</t>
        </is>
      </c>
      <c r="B6" s="8" t="inlineStr">
        <is>
          <t>通信費</t>
        </is>
      </c>
      <c r="C6" s="9" t="n"/>
      <c r="D6" s="85" t="n">
        <v>9974</v>
      </c>
      <c r="E6" s="88" t="n"/>
      <c r="F6" s="88" t="n"/>
      <c r="G6" s="7" t="n"/>
      <c r="H6" s="7" t="inlineStr">
        <is>
          <t>ダウンロード</t>
        </is>
      </c>
    </row>
    <row r="7">
      <c r="A7" s="7" t="inlineStr">
        <is>
          <t>アスクル(プラスロジテクス)</t>
        </is>
      </c>
      <c r="B7" s="11" t="inlineStr">
        <is>
          <t>消耗品費</t>
        </is>
      </c>
      <c r="C7" s="12" t="n"/>
      <c r="D7" s="85" t="n">
        <v>160084</v>
      </c>
      <c r="E7" s="85" t="n">
        <v>102568</v>
      </c>
      <c r="F7" s="85" t="n">
        <v>93408</v>
      </c>
      <c r="G7" s="7" t="inlineStr">
        <is>
          <t>みずほ銀行</t>
        </is>
      </c>
      <c r="H7" s="7" t="inlineStr">
        <is>
          <t>郵送</t>
        </is>
      </c>
    </row>
    <row r="8">
      <c r="A8" s="7" t="n"/>
      <c r="B8" s="13" t="inlineStr">
        <is>
          <t>消耗品費（8%）</t>
        </is>
      </c>
      <c r="C8" s="14" t="n"/>
      <c r="D8" s="85" t="n"/>
      <c r="E8" s="85" t="n">
        <v>66448</v>
      </c>
      <c r="F8" s="85" t="n"/>
      <c r="G8" s="7" t="n"/>
      <c r="H8" s="7" t="n"/>
    </row>
    <row r="9">
      <c r="A9" s="7" t="inlineStr">
        <is>
          <t>レオパレス２１</t>
        </is>
      </c>
      <c r="B9" s="8" t="inlineStr">
        <is>
          <t>賃借料</t>
        </is>
      </c>
      <c r="C9" s="9" t="n"/>
      <c r="D9" s="85" t="n">
        <v>228360</v>
      </c>
      <c r="E9" s="85" t="n">
        <v>228360</v>
      </c>
      <c r="F9" s="85" t="n">
        <v>360195</v>
      </c>
      <c r="G9" s="7" t="n"/>
      <c r="H9" s="7" t="inlineStr">
        <is>
          <t>ダウンロード</t>
        </is>
      </c>
    </row>
    <row r="10">
      <c r="A10" s="7" t="inlineStr">
        <is>
          <t>レオパレスガス代</t>
        </is>
      </c>
      <c r="B10" s="8" t="inlineStr">
        <is>
          <t>水道光熱費</t>
        </is>
      </c>
      <c r="C10" s="9" t="n"/>
      <c r="D10" s="85" t="n">
        <v>14720</v>
      </c>
      <c r="E10" s="85" t="n">
        <v>18301</v>
      </c>
      <c r="F10" s="85" t="n">
        <v>17236</v>
      </c>
      <c r="G10" s="7" t="n"/>
      <c r="H10" s="7" t="inlineStr">
        <is>
          <t>メール</t>
        </is>
      </c>
    </row>
    <row r="11">
      <c r="A11" s="15" t="inlineStr">
        <is>
          <t>住友林業アーキテクノ</t>
        </is>
      </c>
      <c r="B11" s="16" t="inlineStr">
        <is>
          <t>修繕費</t>
        </is>
      </c>
      <c r="C11" s="17" t="n"/>
      <c r="D11" s="89" t="n">
        <v>35310</v>
      </c>
      <c r="E11" s="89" t="n"/>
      <c r="F11" s="89" t="n"/>
      <c r="G11" s="15" t="inlineStr">
        <is>
          <t>ガス管破損修繕費用負担　8/5振込</t>
        </is>
      </c>
      <c r="H11" s="15" t="inlineStr">
        <is>
          <t>郵送</t>
        </is>
      </c>
    </row>
    <row r="12">
      <c r="A12" s="15" t="n"/>
      <c r="B12" s="19" t="n"/>
      <c r="C12" s="19" t="n"/>
      <c r="D12" s="90" t="n"/>
      <c r="E12" s="90" t="n"/>
      <c r="F12" s="90" t="n"/>
      <c r="G12" s="19" t="n"/>
      <c r="H12" s="15" t="n"/>
    </row>
    <row r="13">
      <c r="A13" s="7" t="n"/>
      <c r="B13" s="7" t="n"/>
      <c r="C13" s="7" t="n"/>
      <c r="D13" s="85" t="n"/>
      <c r="E13" s="85" t="n"/>
      <c r="F13" s="85" t="n"/>
      <c r="G13" s="7" t="n"/>
      <c r="H13" s="7" t="n"/>
    </row>
    <row r="14">
      <c r="A14" s="7" t="n"/>
      <c r="B14" s="7" t="n"/>
      <c r="C14" s="7" t="n"/>
      <c r="D14" s="85" t="n"/>
      <c r="E14" s="85" t="n"/>
      <c r="F14" s="85" t="n"/>
      <c r="G14" s="7" t="n"/>
      <c r="H14" s="7" t="n"/>
    </row>
    <row r="15">
      <c r="A15" s="7" t="inlineStr">
        <is>
          <t>マサヨ(越谷)</t>
        </is>
      </c>
      <c r="B15" s="8" t="inlineStr">
        <is>
          <t>賃借料</t>
        </is>
      </c>
      <c r="C15" s="85" t="n">
        <v>382500</v>
      </c>
      <c r="D15" s="85" t="n">
        <v>382500</v>
      </c>
      <c r="E15" s="85" t="n">
        <v>382500</v>
      </c>
      <c r="F15" s="85" t="n">
        <v>382500</v>
      </c>
      <c r="G15" s="7" t="inlineStr">
        <is>
          <t>駐車場</t>
        </is>
      </c>
      <c r="H15" s="7" t="inlineStr">
        <is>
          <t>なし</t>
        </is>
      </c>
    </row>
    <row r="16">
      <c r="A16" s="7" t="inlineStr">
        <is>
          <t>ヨシテル(越谷)</t>
        </is>
      </c>
      <c r="B16" s="8" t="inlineStr">
        <is>
          <t>賃借料</t>
        </is>
      </c>
      <c r="C16" s="85" t="n">
        <v>350000</v>
      </c>
      <c r="D16" s="85" t="n">
        <v>350000</v>
      </c>
      <c r="E16" s="85" t="n">
        <v>350000</v>
      </c>
      <c r="F16" s="85" t="n">
        <v>350000</v>
      </c>
      <c r="G16" s="7" t="inlineStr">
        <is>
          <t>駐車場</t>
        </is>
      </c>
      <c r="H16" s="7" t="inlineStr">
        <is>
          <t>なし</t>
        </is>
      </c>
    </row>
    <row r="17">
      <c r="A17" s="7" t="inlineStr">
        <is>
          <t>ヨシテル(三郷)</t>
        </is>
      </c>
      <c r="B17" s="8" t="inlineStr">
        <is>
          <t>賃借料</t>
        </is>
      </c>
      <c r="C17" s="85" t="n">
        <v>390000</v>
      </c>
      <c r="D17" s="85" t="n">
        <v>390000</v>
      </c>
      <c r="E17" s="85" t="n">
        <v>390000</v>
      </c>
      <c r="F17" s="85" t="n">
        <v>390000</v>
      </c>
      <c r="G17" s="7" t="inlineStr">
        <is>
          <t>駐車場</t>
        </is>
      </c>
      <c r="H17" s="7" t="inlineStr">
        <is>
          <t>なし</t>
        </is>
      </c>
    </row>
    <row r="18">
      <c r="A18" s="7" t="inlineStr">
        <is>
          <t>中沢酒造株式会社</t>
        </is>
      </c>
      <c r="B18" s="8" t="inlineStr">
        <is>
          <t>賃借料</t>
        </is>
      </c>
      <c r="C18" s="85" t="n">
        <v>60000</v>
      </c>
      <c r="D18" s="85" t="n">
        <v>60000</v>
      </c>
      <c r="E18" s="85" t="n">
        <v>60000</v>
      </c>
      <c r="F18" s="85" t="n">
        <v>60000</v>
      </c>
      <c r="G18" s="7" t="inlineStr">
        <is>
          <t>前払い足柄店駐車場10台</t>
        </is>
      </c>
      <c r="H18" s="7" t="inlineStr">
        <is>
          <t>なし</t>
        </is>
      </c>
    </row>
    <row r="19">
      <c r="A19" s="7" t="inlineStr">
        <is>
          <t>丸福企画</t>
        </is>
      </c>
      <c r="B19" s="8" t="inlineStr">
        <is>
          <t>賃借料</t>
        </is>
      </c>
      <c r="C19" s="85" t="n">
        <v>170000</v>
      </c>
      <c r="D19" s="85" t="n">
        <v>170000</v>
      </c>
      <c r="E19" s="85" t="n">
        <v>170000</v>
      </c>
      <c r="F19" s="85" t="n">
        <v>170000</v>
      </c>
      <c r="G19" s="7" t="inlineStr">
        <is>
          <t>駐車場</t>
        </is>
      </c>
      <c r="H19" s="7" t="inlineStr">
        <is>
          <t>なし</t>
        </is>
      </c>
    </row>
    <row r="20">
      <c r="A20" s="7" t="inlineStr">
        <is>
          <t>豊田駐車場(孝司)</t>
        </is>
      </c>
      <c r="B20" s="8" t="inlineStr">
        <is>
          <t>賃借料</t>
        </is>
      </c>
      <c r="C20" s="85" t="n">
        <v>165000</v>
      </c>
      <c r="D20" s="91" t="n"/>
      <c r="E20" s="91" t="n"/>
      <c r="F20" s="91" t="n"/>
      <c r="G20" s="7" t="inlineStr">
        <is>
          <t>駐車場</t>
        </is>
      </c>
      <c r="H20" s="7" t="inlineStr">
        <is>
          <t>なし</t>
        </is>
      </c>
    </row>
    <row r="21">
      <c r="A21" s="7" t="inlineStr">
        <is>
          <t>山脇土地</t>
        </is>
      </c>
      <c r="B21" s="8" t="inlineStr">
        <is>
          <t>賃借料</t>
        </is>
      </c>
      <c r="C21" s="85" t="n">
        <v>55000</v>
      </c>
      <c r="D21" s="91" t="n"/>
      <c r="E21" s="91" t="n"/>
      <c r="F21" s="91" t="n"/>
      <c r="G21" s="7" t="inlineStr">
        <is>
          <t>駐車場</t>
        </is>
      </c>
      <c r="H21" s="7" t="inlineStr">
        <is>
          <t>なし</t>
        </is>
      </c>
    </row>
    <row r="22">
      <c r="A22" s="7" t="inlineStr">
        <is>
          <t>ヤナセ住販</t>
        </is>
      </c>
      <c r="B22" s="8" t="inlineStr">
        <is>
          <t>賃借料</t>
        </is>
      </c>
      <c r="C22" s="85" t="n">
        <v>35200</v>
      </c>
      <c r="D22" s="91" t="n"/>
      <c r="E22" s="91" t="n"/>
      <c r="F22" s="91" t="n"/>
      <c r="G22" s="7" t="inlineStr">
        <is>
          <t>駐車場</t>
        </is>
      </c>
      <c r="H22" s="7" t="inlineStr">
        <is>
          <t>なし</t>
        </is>
      </c>
    </row>
    <row r="23">
      <c r="A23" s="7" t="inlineStr">
        <is>
          <t>大栄不動産</t>
        </is>
      </c>
      <c r="B23" s="8" t="inlineStr">
        <is>
          <t>賃借料</t>
        </is>
      </c>
      <c r="C23" s="85" t="n">
        <v>29700</v>
      </c>
      <c r="D23" s="91" t="n"/>
      <c r="E23" s="91" t="n"/>
      <c r="F23" s="91" t="n"/>
      <c r="G23" s="7" t="inlineStr">
        <is>
          <t>駐車場</t>
        </is>
      </c>
      <c r="H23" s="7" t="inlineStr">
        <is>
          <t>なし</t>
        </is>
      </c>
    </row>
    <row r="24">
      <c r="A24" s="7" t="inlineStr">
        <is>
          <t>林 横浜駐車場</t>
        </is>
      </c>
      <c r="B24" s="8" t="inlineStr">
        <is>
          <t>賃借料</t>
        </is>
      </c>
      <c r="C24" s="85" t="n">
        <v>90000</v>
      </c>
      <c r="D24" s="91" t="n"/>
      <c r="E24" s="91" t="n"/>
      <c r="F24" s="91" t="n"/>
      <c r="G24" s="7" t="inlineStr">
        <is>
          <t>駐車場</t>
        </is>
      </c>
      <c r="H24" s="7" t="inlineStr">
        <is>
          <t>なし</t>
        </is>
      </c>
    </row>
    <row r="25">
      <c r="A25" s="7" t="inlineStr">
        <is>
          <t>大東建託</t>
        </is>
      </c>
      <c r="B25" s="8" t="inlineStr">
        <is>
          <t>賃借料</t>
        </is>
      </c>
      <c r="C25" s="85" t="n">
        <v>67300</v>
      </c>
      <c r="D25" s="91" t="n"/>
      <c r="E25" s="91" t="n"/>
      <c r="F25" s="91" t="n"/>
      <c r="G25" s="7" t="inlineStr">
        <is>
          <t>アパート</t>
        </is>
      </c>
      <c r="H25" s="7" t="inlineStr">
        <is>
          <t>なし</t>
        </is>
      </c>
    </row>
    <row r="26">
      <c r="A26" s="7" t="inlineStr">
        <is>
          <t>三郷中央クリニック</t>
        </is>
      </c>
      <c r="B26" s="8" t="inlineStr">
        <is>
          <t>雑費</t>
        </is>
      </c>
      <c r="C26" s="85" t="n">
        <v>60000</v>
      </c>
      <c r="D26" s="91" t="n"/>
      <c r="E26" s="91" t="n"/>
      <c r="F26" s="91" t="n"/>
      <c r="G26" s="7" t="inlineStr">
        <is>
          <t>産業医</t>
        </is>
      </c>
      <c r="H26" s="7" t="inlineStr">
        <is>
          <t>なし</t>
        </is>
      </c>
    </row>
    <row r="27">
      <c r="A27" s="22" t="n"/>
      <c r="B27" s="23" t="n"/>
      <c r="C27" s="23" t="n"/>
      <c r="G27" s="22" t="n"/>
      <c r="H27" s="22" t="n"/>
    </row>
    <row r="30">
      <c r="A30" s="24" t="inlineStr">
        <is>
          <t>合計金額</t>
        </is>
      </c>
      <c r="B30" s="24" t="n"/>
      <c r="C30" s="92">
        <f>SUM(C4:C18)</f>
        <v/>
      </c>
      <c r="D30" s="92">
        <f>SUM(D4:D18)</f>
        <v/>
      </c>
      <c r="E30" s="92">
        <f>SUM(E4:E18)</f>
        <v/>
      </c>
      <c r="F30" s="92">
        <f>SUM(F4:F18)</f>
        <v/>
      </c>
    </row>
    <row r="31">
      <c r="D31" s="83">
        <f>D30-D11</f>
        <v/>
      </c>
      <c r="G31" s="26" t="inlineStr">
        <is>
          <t>ガス管破損負担分を除いた額</t>
        </is>
      </c>
    </row>
  </sheetData>
  <mergeCells count="2">
    <mergeCell ref="E4:E6"/>
    <mergeCell ref="F4:F6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2"/>
  <sheetViews>
    <sheetView tabSelected="1" zoomScaleNormal="100" workbookViewId="0">
      <pane ySplit="1" topLeftCell="A2" activePane="bottomLeft" state="frozen"/>
      <selection pane="bottomLeft" activeCell="K16" sqref="K16"/>
    </sheetView>
  </sheetViews>
  <sheetFormatPr baseColWidth="8" defaultColWidth="8.6640625" defaultRowHeight="18"/>
  <cols>
    <col width="25.21875" customWidth="1" style="2" min="1" max="1"/>
    <col width="24.44140625" customWidth="1" style="2" min="2" max="2"/>
    <col width="14.6640625" customWidth="1" style="2" min="3" max="3"/>
    <col width="14" customWidth="1" style="83" min="4" max="6"/>
    <col width="26" customWidth="1" style="2" min="7" max="7"/>
    <col width="22.6640625" customWidth="1" style="2" min="8" max="8"/>
    <col width="21.5546875" customWidth="1" style="2" min="9" max="9"/>
    <col width="8.6640625" customWidth="1" style="2" min="10" max="16384"/>
  </cols>
  <sheetData>
    <row r="1">
      <c r="A1" s="71" t="inlineStr">
        <is>
          <t>取引先</t>
        </is>
      </c>
      <c r="B1" s="27" t="inlineStr">
        <is>
          <t>勘定科目</t>
        </is>
      </c>
      <c r="C1" s="93" t="inlineStr">
        <is>
          <t>９月末</t>
        </is>
      </c>
      <c r="D1" s="93" t="inlineStr">
        <is>
          <t>８月末</t>
        </is>
      </c>
      <c r="E1" s="93" t="inlineStr">
        <is>
          <t>７月末</t>
        </is>
      </c>
      <c r="F1" s="93" t="inlineStr">
        <is>
          <t>６月末</t>
        </is>
      </c>
      <c r="G1" s="27" t="inlineStr">
        <is>
          <t>備考</t>
        </is>
      </c>
      <c r="H1" s="27" t="inlineStr">
        <is>
          <t>媒体</t>
        </is>
      </c>
    </row>
    <row r="2" customFormat="1" s="34">
      <c r="A2" s="29" t="inlineStr">
        <is>
          <t>小松車輛</t>
        </is>
      </c>
      <c r="B2" s="30" t="n"/>
      <c r="C2" s="94">
        <f>C3+C4</f>
        <v/>
      </c>
      <c r="D2" s="94">
        <f>D3+D4</f>
        <v/>
      </c>
      <c r="E2" s="94">
        <f>E3+E4</f>
        <v/>
      </c>
      <c r="F2" s="94">
        <f>F3+F4</f>
        <v/>
      </c>
      <c r="G2" s="32" t="n"/>
      <c r="H2" s="33" t="inlineStr">
        <is>
          <t>郵送</t>
        </is>
      </c>
    </row>
    <row r="3">
      <c r="A3" s="33" t="n"/>
      <c r="B3" s="35" t="inlineStr">
        <is>
          <t>リース料</t>
        </is>
      </c>
      <c r="C3" s="36" t="n"/>
      <c r="D3" s="95" t="n">
        <v>849200</v>
      </c>
      <c r="E3" s="95" t="n">
        <v>849200</v>
      </c>
      <c r="F3" s="95" t="n">
        <v>849200</v>
      </c>
      <c r="G3" s="33" t="inlineStr">
        <is>
          <t>車両リース</t>
        </is>
      </c>
      <c r="H3" s="33" t="n"/>
    </row>
    <row r="4">
      <c r="A4" s="33" t="n"/>
      <c r="B4" s="35" t="inlineStr">
        <is>
          <t>修繕費</t>
        </is>
      </c>
      <c r="C4" s="36" t="n"/>
      <c r="D4" s="95" t="n">
        <v>129494</v>
      </c>
      <c r="E4" s="95" t="n">
        <v>58410</v>
      </c>
      <c r="F4" s="95" t="n"/>
      <c r="G4" s="33" t="inlineStr">
        <is>
          <t>車両修理</t>
        </is>
      </c>
      <c r="H4" s="33" t="n"/>
    </row>
    <row r="5">
      <c r="A5" s="38" t="inlineStr">
        <is>
          <t>梅田自動車</t>
        </is>
      </c>
      <c r="B5" s="39" t="n"/>
      <c r="C5" s="94">
        <f>C6+C7</f>
        <v/>
      </c>
      <c r="D5" s="94">
        <f>D6+D7</f>
        <v/>
      </c>
      <c r="E5" s="94">
        <f>E6+E7</f>
        <v/>
      </c>
      <c r="F5" s="94">
        <f>F6+F7</f>
        <v/>
      </c>
      <c r="G5" s="33" t="n"/>
      <c r="H5" s="33" t="inlineStr">
        <is>
          <t>郵送</t>
        </is>
      </c>
    </row>
    <row r="6">
      <c r="A6" s="33" t="n"/>
      <c r="B6" s="35" t="inlineStr">
        <is>
          <t>修繕費</t>
        </is>
      </c>
      <c r="C6" s="36" t="n"/>
      <c r="D6" s="85" t="n">
        <v>1649540</v>
      </c>
      <c r="E6" s="85" t="n">
        <v>322350</v>
      </c>
      <c r="F6" s="85" t="n">
        <v>815100</v>
      </c>
      <c r="G6" s="33" t="inlineStr">
        <is>
          <t>車両修理</t>
        </is>
      </c>
      <c r="H6" s="33" t="n"/>
    </row>
    <row r="7">
      <c r="A7" s="33" t="n"/>
      <c r="B7" s="35" t="inlineStr">
        <is>
          <t>車両運搬具</t>
        </is>
      </c>
      <c r="C7" s="36" t="n"/>
      <c r="D7" s="85" t="n"/>
      <c r="E7" s="85" t="n"/>
      <c r="F7" s="85" t="n"/>
      <c r="G7" s="33" t="n"/>
      <c r="H7" s="33" t="n"/>
    </row>
    <row r="8">
      <c r="A8" s="38" t="inlineStr">
        <is>
          <t>ニシネン砿油（セルヴィス）</t>
        </is>
      </c>
      <c r="B8" s="39" t="n"/>
      <c r="C8" s="40">
        <f>SUM(C9:C15)</f>
        <v/>
      </c>
      <c r="D8" s="96">
        <f>SUM(D9:D15)</f>
        <v/>
      </c>
      <c r="E8" s="97">
        <f>SUM(E9:E15)</f>
        <v/>
      </c>
      <c r="F8" s="97">
        <f>SUM(F9:F15)</f>
        <v/>
      </c>
      <c r="G8" s="33" t="n"/>
      <c r="H8" s="33" t="inlineStr">
        <is>
          <t>郵送</t>
        </is>
      </c>
    </row>
    <row r="9">
      <c r="A9" s="33" t="n"/>
      <c r="B9" s="35" t="inlineStr">
        <is>
          <t>修繕費</t>
        </is>
      </c>
      <c r="C9" s="36" t="n"/>
      <c r="D9" s="85" t="n">
        <v>339900</v>
      </c>
      <c r="E9" s="85" t="n">
        <v>170800</v>
      </c>
      <c r="F9" s="85" t="n"/>
      <c r="G9" s="33" t="inlineStr">
        <is>
          <t>車両修理</t>
        </is>
      </c>
      <c r="H9" s="33" t="n"/>
    </row>
    <row r="10">
      <c r="A10" s="33" t="n"/>
      <c r="B10" s="35" t="inlineStr">
        <is>
          <t>保険料</t>
        </is>
      </c>
      <c r="C10" s="36" t="n"/>
      <c r="D10" s="85" t="n"/>
      <c r="E10" s="85" t="n">
        <v>22400</v>
      </c>
      <c r="F10" s="85" t="n"/>
      <c r="G10" s="33" t="inlineStr">
        <is>
          <t>車検</t>
        </is>
      </c>
      <c r="H10" s="33" t="n"/>
    </row>
    <row r="11">
      <c r="A11" s="33" t="n"/>
      <c r="B11" s="35" t="inlineStr">
        <is>
          <t>租税公課</t>
        </is>
      </c>
      <c r="C11" s="36" t="n"/>
      <c r="D11" s="85" t="n"/>
      <c r="E11" s="33" t="n"/>
      <c r="F11" s="85" t="n"/>
      <c r="G11" s="33" t="n"/>
      <c r="H11" s="33" t="n"/>
    </row>
    <row r="12">
      <c r="A12" s="33" t="n"/>
      <c r="B12" s="43" t="inlineStr">
        <is>
          <t>支払手数料</t>
        </is>
      </c>
      <c r="C12" s="33" t="n"/>
      <c r="D12" s="85" t="n"/>
      <c r="E12" s="85" t="n">
        <v>23550</v>
      </c>
      <c r="F12" s="33" t="n"/>
      <c r="G12" s="33" t="n"/>
      <c r="H12" s="33" t="n"/>
    </row>
    <row r="13">
      <c r="A13" s="33" t="n"/>
      <c r="B13" s="43" t="inlineStr">
        <is>
          <t>消耗品費</t>
        </is>
      </c>
      <c r="C13" s="33" t="n"/>
      <c r="D13" s="85" t="n"/>
      <c r="E13" s="85" t="n">
        <v>124850</v>
      </c>
      <c r="F13" s="33" t="n"/>
      <c r="G13" s="33" t="n"/>
      <c r="H13" s="33" t="n"/>
    </row>
    <row r="14">
      <c r="A14" s="33" t="n"/>
      <c r="B14" s="35" t="inlineStr">
        <is>
          <t>車両運搬具</t>
        </is>
      </c>
      <c r="C14" s="36" t="n"/>
      <c r="D14" s="85" t="n"/>
      <c r="E14" s="85" t="n"/>
      <c r="F14" s="85" t="n"/>
      <c r="G14" s="33" t="n"/>
      <c r="H14" s="33" t="n"/>
    </row>
    <row r="15">
      <c r="A15" s="33" t="n"/>
      <c r="B15" s="35" t="inlineStr">
        <is>
          <t>車輛燃料費</t>
        </is>
      </c>
      <c r="C15" s="36" t="n"/>
      <c r="D15" s="85" t="n"/>
      <c r="E15" s="85" t="n"/>
      <c r="F15" s="85" t="n"/>
      <c r="G15" s="33" t="n"/>
      <c r="H15" s="33" t="n"/>
    </row>
    <row r="16">
      <c r="A16" s="38" t="inlineStr">
        <is>
          <t>くるま屋　石本</t>
        </is>
      </c>
      <c r="B16" s="39" t="n"/>
      <c r="C16" s="98">
        <f>SUM(C17:C21)</f>
        <v/>
      </c>
      <c r="D16" s="98">
        <f>SUM(D17:D21)</f>
        <v/>
      </c>
      <c r="E16" s="98">
        <f>SUM(E17:E21)</f>
        <v/>
      </c>
      <c r="F16" s="98">
        <f>SUM(F17:F21)</f>
        <v/>
      </c>
      <c r="G16" s="33" t="n"/>
      <c r="H16" s="33" t="inlineStr">
        <is>
          <t>郵送</t>
        </is>
      </c>
    </row>
    <row r="17">
      <c r="A17" s="33" t="n"/>
      <c r="B17" s="35" t="inlineStr">
        <is>
          <t>修繕費</t>
        </is>
      </c>
      <c r="C17" s="36" t="n"/>
      <c r="D17" s="85" t="n">
        <v>56760</v>
      </c>
      <c r="E17" s="85" t="n"/>
      <c r="F17" s="85" t="n">
        <v>11300</v>
      </c>
      <c r="G17" s="33" t="inlineStr">
        <is>
          <t>車両修理</t>
        </is>
      </c>
      <c r="H17" s="33" t="n"/>
    </row>
    <row r="18">
      <c r="A18" s="33" t="n"/>
      <c r="B18" s="35" t="inlineStr">
        <is>
          <t>保険料</t>
        </is>
      </c>
      <c r="C18" s="36" t="n"/>
      <c r="D18" s="85" t="n">
        <v>17540</v>
      </c>
      <c r="E18" s="85" t="n"/>
      <c r="F18" s="85" t="n"/>
      <c r="G18" s="33" t="inlineStr">
        <is>
          <t>車検</t>
        </is>
      </c>
      <c r="H18" s="33" t="n"/>
    </row>
    <row r="19">
      <c r="A19" s="33" t="n"/>
      <c r="B19" s="43" t="inlineStr">
        <is>
          <t>租税公課</t>
        </is>
      </c>
      <c r="C19" s="33" t="n"/>
      <c r="D19" s="85" t="n">
        <v>7500</v>
      </c>
      <c r="E19" s="85" t="n"/>
      <c r="F19" s="85" t="n"/>
      <c r="G19" s="33" t="n"/>
      <c r="H19" s="33" t="n"/>
    </row>
    <row r="20">
      <c r="A20" s="33" t="n"/>
      <c r="B20" s="35" t="inlineStr">
        <is>
          <t>支払手数料</t>
        </is>
      </c>
      <c r="C20" s="36" t="n"/>
      <c r="D20" s="85" t="n">
        <v>8800</v>
      </c>
      <c r="E20" s="85" t="n"/>
      <c r="F20" s="85" t="n"/>
      <c r="G20" s="33" t="n"/>
      <c r="H20" s="33" t="n"/>
    </row>
    <row r="21">
      <c r="A21" s="33" t="n"/>
      <c r="B21" s="35" t="inlineStr">
        <is>
          <t>消耗品費</t>
        </is>
      </c>
      <c r="C21" s="36" t="n"/>
      <c r="D21" s="85" t="n"/>
      <c r="E21" s="85" t="n"/>
      <c r="F21" s="85" t="n"/>
      <c r="G21" s="33" t="n"/>
      <c r="H21" s="33" t="n"/>
    </row>
    <row r="22">
      <c r="A22" s="38" t="inlineStr">
        <is>
          <t>平田自動車工業㈱</t>
        </is>
      </c>
      <c r="B22" s="39" t="n"/>
      <c r="C22" s="98">
        <f>SUM(C23:C24)</f>
        <v/>
      </c>
      <c r="D22" s="98">
        <f>SUM(D23:D24)</f>
        <v/>
      </c>
      <c r="E22" s="98">
        <f>SUM(E23:E24)</f>
        <v/>
      </c>
      <c r="F22" s="98">
        <f>SUM(F23:F24)</f>
        <v/>
      </c>
      <c r="H22" s="33" t="inlineStr">
        <is>
          <t>郵送</t>
        </is>
      </c>
    </row>
    <row r="23">
      <c r="B23" s="35" t="inlineStr">
        <is>
          <t>修繕費</t>
        </is>
      </c>
      <c r="C23" s="36" t="n"/>
      <c r="D23" s="85" t="n"/>
      <c r="E23" s="85" t="n"/>
      <c r="F23" s="85" t="n">
        <v>5500</v>
      </c>
      <c r="G23" s="33" t="inlineStr">
        <is>
          <t>車両修理</t>
        </is>
      </c>
      <c r="H23" s="33" t="n"/>
    </row>
    <row r="24">
      <c r="A24" s="33" t="n"/>
      <c r="B24" s="35" t="inlineStr">
        <is>
          <t>消耗品費</t>
        </is>
      </c>
      <c r="C24" s="36" t="n"/>
      <c r="D24" s="85" t="n"/>
      <c r="E24" s="85" t="n"/>
      <c r="F24" s="85" t="n"/>
      <c r="G24" s="33" t="n"/>
      <c r="H24" s="33" t="n"/>
    </row>
    <row r="25">
      <c r="A25" s="38" t="inlineStr">
        <is>
          <t>㈱オプティム</t>
        </is>
      </c>
      <c r="B25" s="39" t="n"/>
      <c r="C25" s="99">
        <f>SUM(C26:C27)</f>
        <v/>
      </c>
      <c r="D25" s="99">
        <f>SUM(D26:D27)</f>
        <v/>
      </c>
      <c r="E25" s="99">
        <f>SUM(E26:E27)</f>
        <v/>
      </c>
      <c r="F25" s="99">
        <f>SUM(F26:F27)</f>
        <v/>
      </c>
      <c r="G25" s="33" t="n"/>
      <c r="H25" s="33" t="inlineStr">
        <is>
          <t>郵送</t>
        </is>
      </c>
    </row>
    <row r="26">
      <c r="B26" s="35" t="inlineStr">
        <is>
          <t>雑費</t>
        </is>
      </c>
      <c r="C26" s="36" t="n"/>
      <c r="D26" s="85" t="n">
        <v>89100</v>
      </c>
      <c r="E26" s="85" t="n">
        <v>89100</v>
      </c>
      <c r="F26" s="85" t="n">
        <v>89100</v>
      </c>
      <c r="G26" s="46" t="inlineStr">
        <is>
          <t>GEOスキャンライセンス</t>
        </is>
      </c>
      <c r="H26" s="46" t="n"/>
    </row>
    <row r="27">
      <c r="A27" s="47" t="n"/>
      <c r="B27" s="35" t="inlineStr">
        <is>
          <t>工具、器具及び備品</t>
        </is>
      </c>
      <c r="C27" s="36" t="n"/>
      <c r="D27" s="85" t="n"/>
      <c r="E27" s="85" t="n"/>
      <c r="F27" s="85" t="n"/>
      <c r="G27" s="46" t="inlineStr">
        <is>
          <t>GEOスキャン本体</t>
        </is>
      </c>
      <c r="H27" s="46" t="n"/>
    </row>
    <row r="28">
      <c r="A28" s="38" t="inlineStr">
        <is>
          <t>エムエス測器</t>
        </is>
      </c>
      <c r="B28" s="39" t="n"/>
      <c r="C28" s="96">
        <f>SUM(C29:C31)</f>
        <v/>
      </c>
      <c r="D28" s="96">
        <f>SUM(D29:D31)</f>
        <v/>
      </c>
      <c r="E28" s="96">
        <f>SUM(E29:E31)</f>
        <v/>
      </c>
      <c r="F28" s="96">
        <f>SUM(F29:F31)</f>
        <v/>
      </c>
      <c r="G28" s="46" t="n"/>
      <c r="H28" s="33" t="inlineStr">
        <is>
          <t>郵送</t>
        </is>
      </c>
    </row>
    <row r="29">
      <c r="B29" s="35" t="inlineStr">
        <is>
          <t>修繕費</t>
        </is>
      </c>
      <c r="C29" s="36" t="n"/>
      <c r="D29" s="85" t="n">
        <v>46200</v>
      </c>
      <c r="E29" s="85" t="n"/>
      <c r="F29" s="85" t="n"/>
      <c r="G29" s="46" t="n"/>
    </row>
    <row r="30">
      <c r="A30" s="46" t="n"/>
      <c r="B30" s="35" t="inlineStr">
        <is>
          <t>消耗品費</t>
        </is>
      </c>
      <c r="C30" s="36" t="n"/>
      <c r="D30" s="85" t="n">
        <v>14300</v>
      </c>
      <c r="E30" s="85" t="n"/>
      <c r="F30" s="85" t="n"/>
      <c r="G30" s="46" t="n"/>
      <c r="H30" s="46" t="n"/>
    </row>
    <row r="31">
      <c r="A31" s="46" t="n"/>
      <c r="B31" s="35" t="inlineStr">
        <is>
          <t>工具、器具及び備品</t>
        </is>
      </c>
      <c r="C31" s="36" t="n"/>
      <c r="D31" s="85" t="n"/>
      <c r="E31" s="85" t="n"/>
      <c r="F31" s="85" t="n"/>
      <c r="G31" s="46" t="n"/>
      <c r="H31" s="46" t="n"/>
    </row>
    <row r="32">
      <c r="A32" s="38" t="inlineStr">
        <is>
          <t>滝本特殊溶接工業</t>
        </is>
      </c>
      <c r="B32" s="39" t="n"/>
      <c r="C32" s="96">
        <f>SUM(C33:C34)</f>
        <v/>
      </c>
      <c r="D32" s="96">
        <f>SUM(D33:D34)</f>
        <v/>
      </c>
      <c r="E32" s="96">
        <f>SUM(E33:E34)</f>
        <v/>
      </c>
      <c r="F32" s="96">
        <f>SUM(F33:F34)</f>
        <v/>
      </c>
      <c r="G32" s="33" t="inlineStr">
        <is>
          <t>地盤機器修理</t>
        </is>
      </c>
      <c r="H32" s="33" t="inlineStr">
        <is>
          <t>郵送</t>
        </is>
      </c>
    </row>
    <row r="33">
      <c r="B33" s="35" t="inlineStr">
        <is>
          <t>修繕費</t>
        </is>
      </c>
      <c r="C33" s="36" t="n"/>
      <c r="D33" s="85" t="n"/>
      <c r="E33" s="46" t="n"/>
      <c r="F33" s="85" t="n">
        <v>34000</v>
      </c>
      <c r="G33" s="46" t="n"/>
      <c r="H33" s="46" t="n"/>
    </row>
    <row r="34">
      <c r="A34" s="46" t="n"/>
      <c r="B34" s="35" t="inlineStr">
        <is>
          <t>消耗品費</t>
        </is>
      </c>
      <c r="C34" s="36" t="n"/>
      <c r="D34" s="85" t="n"/>
      <c r="E34" s="85" t="n">
        <v>8250</v>
      </c>
      <c r="F34" s="85" t="n"/>
      <c r="G34" s="46" t="n"/>
      <c r="H34" s="46" t="n"/>
    </row>
    <row r="35">
      <c r="A35" s="38" t="inlineStr">
        <is>
          <t>アンナカ</t>
        </is>
      </c>
      <c r="B35" s="39" t="n"/>
      <c r="C35" s="96">
        <f>SUM(C36:C37)</f>
        <v/>
      </c>
      <c r="D35" s="96">
        <f>SUM(D36:D37)</f>
        <v/>
      </c>
      <c r="E35" s="96">
        <f>SUM(E36:E37)</f>
        <v/>
      </c>
      <c r="F35" s="96">
        <f>SUM(F36:F37)</f>
        <v/>
      </c>
      <c r="G35" s="46" t="n"/>
      <c r="H35" s="48" t="inlineStr">
        <is>
          <t>info@にメール</t>
        </is>
      </c>
    </row>
    <row r="36">
      <c r="B36" s="35" t="inlineStr">
        <is>
          <t>消耗品費</t>
        </is>
      </c>
      <c r="C36" s="36" t="n"/>
      <c r="D36" s="100" t="n">
        <v>461780</v>
      </c>
      <c r="E36" s="85" t="n">
        <v>288893</v>
      </c>
      <c r="F36" s="85" t="n">
        <v>190410</v>
      </c>
      <c r="G36" s="46" t="n"/>
      <c r="H36" s="46" t="n"/>
    </row>
    <row r="37">
      <c r="A37" s="46" t="n"/>
      <c r="B37" s="35" t="inlineStr">
        <is>
          <t>工具、器具及び備品</t>
        </is>
      </c>
      <c r="C37" s="36" t="n"/>
      <c r="D37" s="100" t="n"/>
      <c r="E37" s="85" t="n"/>
      <c r="F37" s="85" t="n"/>
      <c r="G37" s="33" t="inlineStr">
        <is>
          <t>測量機器</t>
        </is>
      </c>
      <c r="H37" s="48" t="n"/>
    </row>
    <row r="38">
      <c r="A38" s="50" t="inlineStr">
        <is>
          <t>GEプランニング</t>
        </is>
      </c>
      <c r="B38" s="51" t="inlineStr">
        <is>
          <t>消耗品費</t>
        </is>
      </c>
      <c r="C38" s="40" t="n"/>
      <c r="D38" s="101" t="n"/>
      <c r="E38" s="101" t="n">
        <v>550000</v>
      </c>
      <c r="F38" s="101" t="n"/>
      <c r="G38" s="33" t="inlineStr">
        <is>
          <t>地盤機器</t>
        </is>
      </c>
      <c r="H38" s="46" t="n"/>
    </row>
    <row r="39">
      <c r="A39" s="38" t="inlineStr">
        <is>
          <t>日東精工</t>
        </is>
      </c>
      <c r="B39" s="51" t="inlineStr">
        <is>
          <t>修繕費</t>
        </is>
      </c>
      <c r="C39" s="40" t="n"/>
      <c r="D39" s="101" t="n">
        <v>485760</v>
      </c>
      <c r="E39" s="101" t="n"/>
      <c r="F39" s="101" t="n">
        <v>685652</v>
      </c>
      <c r="G39" s="33" t="inlineStr">
        <is>
          <t>ジオカルテ修理</t>
        </is>
      </c>
      <c r="H39" s="53" t="inlineStr">
        <is>
          <t>メール</t>
        </is>
      </c>
    </row>
    <row r="40">
      <c r="A40" s="38" t="inlineStr">
        <is>
          <t>埼玉測器社</t>
        </is>
      </c>
      <c r="B40" s="51" t="inlineStr">
        <is>
          <t>消耗品費</t>
        </is>
      </c>
      <c r="C40" s="40" t="n"/>
      <c r="D40" s="101" t="n">
        <v>155881</v>
      </c>
      <c r="E40" s="101" t="n">
        <v>103400</v>
      </c>
      <c r="F40" s="101" t="n">
        <v>79200</v>
      </c>
      <c r="G40" s="33" t="inlineStr">
        <is>
          <t>測量機器</t>
        </is>
      </c>
      <c r="H40" s="33" t="inlineStr">
        <is>
          <t>郵送</t>
        </is>
      </c>
    </row>
    <row r="41">
      <c r="A41" s="38" t="inlineStr">
        <is>
          <t>ワークマン吉川</t>
        </is>
      </c>
      <c r="B41" s="51" t="inlineStr">
        <is>
          <t>消耗品費</t>
        </is>
      </c>
      <c r="C41" s="40" t="n"/>
      <c r="D41" s="101" t="n">
        <v>151756</v>
      </c>
      <c r="E41" s="101" t="n">
        <v>123377</v>
      </c>
      <c r="F41" s="101" t="n">
        <v>194224</v>
      </c>
      <c r="G41" s="33" t="inlineStr">
        <is>
          <t>作業着他</t>
        </is>
      </c>
      <c r="H41" s="33" t="inlineStr">
        <is>
          <t>郵送</t>
        </is>
      </c>
    </row>
    <row r="42">
      <c r="A42" s="38" t="inlineStr">
        <is>
          <t>木下フレンド</t>
        </is>
      </c>
      <c r="B42" s="51" t="inlineStr">
        <is>
          <t>雑費</t>
        </is>
      </c>
      <c r="C42" s="40" t="n"/>
      <c r="D42" s="101" t="n">
        <v>31020</v>
      </c>
      <c r="E42" s="101" t="n">
        <v>31020</v>
      </c>
      <c r="F42" s="101" t="n">
        <v>31020</v>
      </c>
      <c r="G42" s="33" t="inlineStr">
        <is>
          <t>所沢産廃</t>
        </is>
      </c>
      <c r="H42" s="33" t="inlineStr">
        <is>
          <t>メール</t>
        </is>
      </c>
    </row>
    <row r="43">
      <c r="A43" s="38" t="inlineStr">
        <is>
          <t>島村興産</t>
        </is>
      </c>
      <c r="B43" s="51" t="inlineStr">
        <is>
          <t>雑費</t>
        </is>
      </c>
      <c r="C43" s="40" t="n"/>
      <c r="D43" s="101" t="n">
        <v>20167</v>
      </c>
      <c r="E43" s="101" t="n">
        <v>23057</v>
      </c>
      <c r="F43" s="101" t="n">
        <v>21440</v>
      </c>
      <c r="G43" s="33" t="inlineStr">
        <is>
          <t>三郷産廃</t>
        </is>
      </c>
      <c r="H43" s="33" t="inlineStr">
        <is>
          <t>郵送</t>
        </is>
      </c>
    </row>
    <row r="44">
      <c r="A44" s="38" t="inlineStr">
        <is>
          <t>エリアフォース</t>
        </is>
      </c>
      <c r="B44" s="54" t="inlineStr">
        <is>
          <t>広告宣伝費</t>
        </is>
      </c>
      <c r="C44" s="50" t="n"/>
      <c r="D44" s="102" t="n"/>
      <c r="E44" s="102" t="n">
        <v>72458</v>
      </c>
      <c r="F44" s="102" t="n"/>
      <c r="G44" s="46" t="inlineStr">
        <is>
          <t>Indeed Plus掲載</t>
        </is>
      </c>
      <c r="H44" s="38" t="inlineStr">
        <is>
          <t>メールで問い合わせ中</t>
        </is>
      </c>
    </row>
    <row r="45">
      <c r="A45" s="38" t="inlineStr">
        <is>
          <t>明治安田生命保険料</t>
        </is>
      </c>
      <c r="B45" s="54" t="n"/>
      <c r="C45" s="99">
        <f>SUM(C46:C47)</f>
        <v/>
      </c>
      <c r="D45" s="99">
        <f>SUM(D46:D47)</f>
        <v/>
      </c>
      <c r="E45" s="99">
        <f>SUM(E46:E47)</f>
        <v/>
      </c>
      <c r="F45" s="99">
        <f>SUM(F46:F47)</f>
        <v/>
      </c>
      <c r="G45" s="46" t="n"/>
      <c r="H45" s="33" t="inlineStr">
        <is>
          <t>郵送</t>
        </is>
      </c>
    </row>
    <row r="46">
      <c r="B46" s="35" t="inlineStr">
        <is>
          <t>福利厚生費</t>
        </is>
      </c>
      <c r="C46" s="36" t="n"/>
      <c r="D46" s="85" t="n"/>
      <c r="E46" s="85" t="n"/>
      <c r="F46" s="85" t="n"/>
      <c r="G46" s="46" t="n"/>
      <c r="H46" s="46" t="n"/>
    </row>
    <row r="47">
      <c r="A47" s="46" t="n"/>
      <c r="B47" s="35" t="inlineStr">
        <is>
          <t>保険積立金</t>
        </is>
      </c>
      <c r="C47" s="36" t="n"/>
      <c r="D47" s="85" t="n">
        <v>477592</v>
      </c>
      <c r="E47" s="85" t="n">
        <v>1103802</v>
      </c>
      <c r="F47" s="85" t="n"/>
      <c r="G47" s="46" t="n"/>
      <c r="H47" s="46" t="n"/>
    </row>
    <row r="48">
      <c r="A48" s="38" t="inlineStr">
        <is>
          <t>地盤審査補償事業</t>
        </is>
      </c>
      <c r="B48" s="51" t="inlineStr">
        <is>
          <t>雑費</t>
        </is>
      </c>
      <c r="C48" s="40" t="n"/>
      <c r="D48" s="101" t="n">
        <v>66000</v>
      </c>
      <c r="E48" s="101" t="n">
        <v>231000</v>
      </c>
      <c r="F48" s="101" t="n">
        <v>33000</v>
      </c>
      <c r="G48" s="33" t="inlineStr">
        <is>
          <t>物件登録料</t>
        </is>
      </c>
      <c r="H48" s="33" t="inlineStr">
        <is>
          <t>郵送</t>
        </is>
      </c>
    </row>
    <row r="49">
      <c r="A49" s="38" t="inlineStr">
        <is>
          <t>合同会社 U-link</t>
        </is>
      </c>
      <c r="B49" s="51" t="inlineStr">
        <is>
          <t>修繕費</t>
        </is>
      </c>
      <c r="C49" s="40" t="n"/>
      <c r="D49" s="101" t="n">
        <v>286000</v>
      </c>
      <c r="E49" s="101" t="n"/>
      <c r="F49" s="101" t="n"/>
      <c r="G49" s="33" t="inlineStr">
        <is>
          <t>空調設備</t>
        </is>
      </c>
      <c r="H49" s="33" t="inlineStr">
        <is>
          <t>郵送</t>
        </is>
      </c>
    </row>
    <row r="50">
      <c r="A50" s="38" t="inlineStr">
        <is>
          <t>佐川急便　越谷</t>
        </is>
      </c>
      <c r="B50" s="54" t="inlineStr">
        <is>
          <t>通信費</t>
        </is>
      </c>
      <c r="C50" s="56" t="n"/>
      <c r="D50" s="91" t="n"/>
      <c r="E50" s="103" t="n"/>
      <c r="F50" s="103" t="n"/>
      <c r="G50" s="46" t="n"/>
      <c r="H50" s="33" t="inlineStr">
        <is>
          <t>ダウンロード</t>
        </is>
      </c>
    </row>
    <row r="51">
      <c r="A51" s="38" t="inlineStr">
        <is>
          <t>佐川急便　所沢</t>
        </is>
      </c>
      <c r="B51" s="54" t="inlineStr">
        <is>
          <t>通信費</t>
        </is>
      </c>
      <c r="C51" s="56" t="n"/>
      <c r="D51" s="91" t="n"/>
      <c r="E51" s="103" t="n"/>
      <c r="F51" s="103" t="n"/>
      <c r="G51" s="46" t="n"/>
      <c r="H51" s="33" t="inlineStr">
        <is>
          <t>ダウンロード</t>
        </is>
      </c>
    </row>
    <row r="52">
      <c r="A52" s="38" t="inlineStr">
        <is>
          <t>佐川急便　横浜瀬谷</t>
        </is>
      </c>
      <c r="B52" s="54" t="inlineStr">
        <is>
          <t>通信費</t>
        </is>
      </c>
      <c r="C52" s="56" t="n"/>
      <c r="D52" s="91" t="n"/>
      <c r="E52" s="103" t="n"/>
      <c r="F52" s="103" t="n"/>
      <c r="G52" s="46" t="n"/>
      <c r="H52" s="33" t="inlineStr">
        <is>
          <t>ダウンロード</t>
        </is>
      </c>
    </row>
    <row r="53">
      <c r="A53" s="38" t="inlineStr">
        <is>
          <t>アスクル（プラスロジテクス）</t>
        </is>
      </c>
      <c r="B53" s="54" t="n"/>
      <c r="C53" s="58">
        <f>SUM(C54:C55)</f>
        <v/>
      </c>
      <c r="D53" s="104">
        <f>SUM(D54:D55)</f>
        <v/>
      </c>
      <c r="E53" s="104">
        <f>SUM(E54:E55)</f>
        <v/>
      </c>
      <c r="F53" s="104">
        <f>SUM(F54:F55)</f>
        <v/>
      </c>
      <c r="G53" s="46" t="n"/>
      <c r="H53" s="33" t="inlineStr">
        <is>
          <t>郵送</t>
        </is>
      </c>
    </row>
    <row r="54">
      <c r="B54" s="43" t="inlineStr">
        <is>
          <t>消耗品費</t>
        </is>
      </c>
      <c r="C54" s="36" t="n"/>
      <c r="D54" s="91" t="n"/>
      <c r="E54" s="91" t="n"/>
      <c r="F54" s="91" t="n"/>
      <c r="G54" s="46" t="n"/>
      <c r="H54" s="46" t="n"/>
    </row>
    <row r="55">
      <c r="A55" s="46" t="n"/>
      <c r="B55" s="43" t="inlineStr">
        <is>
          <t>消耗品費（8%）</t>
        </is>
      </c>
      <c r="C55" s="36" t="n"/>
      <c r="D55" s="91" t="n"/>
      <c r="E55" s="91" t="n"/>
      <c r="F55" s="91" t="n"/>
      <c r="G55" s="46" t="n"/>
      <c r="H55" s="46" t="n"/>
    </row>
    <row r="56">
      <c r="A56" s="38" t="inlineStr">
        <is>
          <t>レオパレス２１</t>
        </is>
      </c>
      <c r="B56" s="54" t="inlineStr">
        <is>
          <t>賃借料</t>
        </is>
      </c>
      <c r="C56" s="56" t="n"/>
      <c r="D56" s="91" t="n"/>
      <c r="E56" s="91" t="n"/>
      <c r="F56" s="91" t="n"/>
      <c r="G56" s="46" t="n"/>
      <c r="H56" s="33" t="inlineStr">
        <is>
          <t>ダウンロード</t>
        </is>
      </c>
    </row>
    <row r="57">
      <c r="A57" s="38" t="inlineStr">
        <is>
          <t>レオパレスガス代</t>
        </is>
      </c>
      <c r="B57" s="54" t="inlineStr">
        <is>
          <t>水道光熱費</t>
        </is>
      </c>
      <c r="C57" s="56" t="n"/>
      <c r="D57" s="91" t="n"/>
      <c r="E57" s="91" t="n"/>
      <c r="F57" s="91" t="n"/>
      <c r="G57" s="46" t="n"/>
      <c r="H57" s="33" t="inlineStr">
        <is>
          <t>メール</t>
        </is>
      </c>
    </row>
    <row r="58">
      <c r="A58" s="33" t="inlineStr">
        <is>
          <t>住友林業アーキテクノ</t>
        </is>
      </c>
      <c r="B58" s="43" t="inlineStr">
        <is>
          <t>修繕費</t>
        </is>
      </c>
      <c r="C58" s="47" t="n"/>
      <c r="D58" s="105" t="n"/>
      <c r="E58" s="105" t="n"/>
      <c r="F58" s="105" t="n"/>
      <c r="G58" s="47" t="n"/>
      <c r="H58" s="16" t="inlineStr">
        <is>
          <t>郵送</t>
        </is>
      </c>
    </row>
    <row r="59" hidden="1">
      <c r="A59" s="46" t="n"/>
      <c r="B59" s="46" t="n"/>
      <c r="C59" s="46" t="n"/>
      <c r="D59" s="85" t="n"/>
      <c r="E59" s="85" t="n"/>
      <c r="F59" s="85" t="n"/>
      <c r="G59" s="46" t="n"/>
      <c r="H59" s="46" t="n"/>
    </row>
    <row r="60" hidden="1">
      <c r="A60" s="46" t="n"/>
      <c r="B60" s="46" t="n"/>
      <c r="C60" s="46" t="n"/>
      <c r="D60" s="85" t="n"/>
      <c r="E60" s="85" t="n"/>
      <c r="F60" s="85" t="n"/>
      <c r="G60" s="46" t="n"/>
      <c r="H60" s="46" t="n"/>
    </row>
    <row r="61" hidden="1">
      <c r="A61" s="33" t="inlineStr">
        <is>
          <t>豊田駐車場(孝司)</t>
        </is>
      </c>
      <c r="B61" s="11" t="inlineStr">
        <is>
          <t>賃借料</t>
        </is>
      </c>
      <c r="C61" s="61" t="n"/>
      <c r="D61" s="85" t="n">
        <v>165000</v>
      </c>
      <c r="E61" s="85" t="n">
        <v>165000</v>
      </c>
      <c r="F61" s="85" t="n">
        <v>165000</v>
      </c>
      <c r="G61" s="33" t="inlineStr">
        <is>
          <t>駐車場</t>
        </is>
      </c>
      <c r="H61" s="33" t="inlineStr">
        <is>
          <t>なし</t>
        </is>
      </c>
    </row>
    <row r="62" hidden="1">
      <c r="A62" s="33" t="inlineStr">
        <is>
          <t>山脇土地</t>
        </is>
      </c>
      <c r="B62" s="11" t="inlineStr">
        <is>
          <t>賃借料</t>
        </is>
      </c>
      <c r="C62" s="61" t="n"/>
      <c r="D62" s="85" t="n">
        <v>55000</v>
      </c>
      <c r="E62" s="85" t="n">
        <v>55000</v>
      </c>
      <c r="F62" s="85" t="n">
        <v>55000</v>
      </c>
      <c r="G62" s="33" t="inlineStr">
        <is>
          <t>駐車場</t>
        </is>
      </c>
      <c r="H62" s="33" t="inlineStr">
        <is>
          <t>なし</t>
        </is>
      </c>
    </row>
    <row r="63" hidden="1">
      <c r="A63" s="33" t="inlineStr">
        <is>
          <t>ヤナセ住販</t>
        </is>
      </c>
      <c r="B63" s="11" t="inlineStr">
        <is>
          <t>賃借料</t>
        </is>
      </c>
      <c r="C63" s="61" t="n"/>
      <c r="D63" s="85" t="n">
        <v>35200</v>
      </c>
      <c r="E63" s="85" t="n">
        <v>35200</v>
      </c>
      <c r="F63" s="85" t="n">
        <v>35200</v>
      </c>
      <c r="G63" s="33" t="inlineStr">
        <is>
          <t>駐車場</t>
        </is>
      </c>
      <c r="H63" s="33" t="inlineStr">
        <is>
          <t>なし</t>
        </is>
      </c>
    </row>
    <row r="64" hidden="1">
      <c r="A64" s="33" t="inlineStr">
        <is>
          <t>林 横浜駐車場</t>
        </is>
      </c>
      <c r="B64" s="11" t="inlineStr">
        <is>
          <t>賃借料</t>
        </is>
      </c>
      <c r="C64" s="61" t="n"/>
      <c r="D64" s="85" t="n">
        <v>90000</v>
      </c>
      <c r="E64" s="85" t="n">
        <v>90000</v>
      </c>
      <c r="F64" s="85" t="n">
        <v>90000</v>
      </c>
      <c r="G64" s="33" t="inlineStr">
        <is>
          <t>駐車場</t>
        </is>
      </c>
      <c r="H64" s="33" t="inlineStr">
        <is>
          <t>なし</t>
        </is>
      </c>
    </row>
    <row r="65" hidden="1">
      <c r="A65" s="16" t="inlineStr">
        <is>
          <t>大栄不動産</t>
        </is>
      </c>
      <c r="B65" s="11" t="inlineStr">
        <is>
          <t>賃借料</t>
        </is>
      </c>
      <c r="C65" s="61" t="n"/>
      <c r="D65" s="85" t="n">
        <v>29700</v>
      </c>
      <c r="E65" s="85" t="n">
        <v>29700</v>
      </c>
      <c r="F65" s="85" t="n">
        <v>29700</v>
      </c>
      <c r="G65" s="33" t="inlineStr">
        <is>
          <t>駐車場</t>
        </is>
      </c>
      <c r="H65" s="33" t="inlineStr">
        <is>
          <t>なし</t>
        </is>
      </c>
    </row>
    <row r="66" hidden="1">
      <c r="A66" s="16" t="inlineStr">
        <is>
          <t>大東建託</t>
        </is>
      </c>
      <c r="B66" s="11" t="inlineStr">
        <is>
          <t>賃借料</t>
        </is>
      </c>
      <c r="C66" s="61" t="n"/>
      <c r="D66" s="85" t="n">
        <v>67300</v>
      </c>
      <c r="E66" s="85" t="n">
        <v>67300</v>
      </c>
      <c r="F66" s="85" t="n">
        <v>67300</v>
      </c>
      <c r="G66" s="33" t="inlineStr">
        <is>
          <t>アパート</t>
        </is>
      </c>
      <c r="H66" s="33" t="inlineStr">
        <is>
          <t>なし</t>
        </is>
      </c>
    </row>
    <row r="67" hidden="1">
      <c r="A67" s="33" t="inlineStr">
        <is>
          <t>三郷中央クリニック</t>
        </is>
      </c>
      <c r="B67" s="11" t="inlineStr">
        <is>
          <t>雑費</t>
        </is>
      </c>
      <c r="C67" s="61" t="n"/>
      <c r="D67" s="85" t="n">
        <v>60000</v>
      </c>
      <c r="E67" s="85" t="n">
        <v>60000</v>
      </c>
      <c r="F67" s="85" t="n">
        <v>60000</v>
      </c>
      <c r="G67" s="33" t="inlineStr">
        <is>
          <t>産業医</t>
        </is>
      </c>
      <c r="H67" s="33" t="inlineStr">
        <is>
          <t>なし</t>
        </is>
      </c>
    </row>
    <row r="68"/>
    <row r="69">
      <c r="A69" s="7" t="inlineStr">
        <is>
          <t>丸福企画</t>
        </is>
      </c>
      <c r="B69" s="8" t="inlineStr">
        <is>
          <t>賃借料</t>
        </is>
      </c>
      <c r="C69" s="91" t="n"/>
      <c r="D69" s="91" t="n"/>
      <c r="E69" s="91" t="n"/>
      <c r="F69" s="91" t="n"/>
      <c r="G69" s="7" t="inlineStr">
        <is>
          <t>駐車場</t>
        </is>
      </c>
      <c r="H69" s="7" t="inlineStr">
        <is>
          <t>なし</t>
        </is>
      </c>
    </row>
    <row r="70">
      <c r="A70" s="7" t="inlineStr">
        <is>
          <t>マサヨ(越谷)</t>
        </is>
      </c>
      <c r="B70" s="8" t="inlineStr">
        <is>
          <t>賃借料</t>
        </is>
      </c>
      <c r="C70" s="91" t="n"/>
      <c r="D70" s="91" t="n"/>
      <c r="E70" s="91" t="n"/>
      <c r="F70" s="91" t="n"/>
      <c r="G70" s="7" t="inlineStr">
        <is>
          <t>駐車場</t>
        </is>
      </c>
      <c r="H70" s="7" t="inlineStr">
        <is>
          <t>なし</t>
        </is>
      </c>
    </row>
    <row r="71">
      <c r="A71" s="7" t="inlineStr">
        <is>
          <t>ヨシテル(越谷)</t>
        </is>
      </c>
      <c r="B71" s="8" t="inlineStr">
        <is>
          <t>賃借料</t>
        </is>
      </c>
      <c r="C71" s="91" t="n"/>
      <c r="D71" s="91" t="n"/>
      <c r="E71" s="91" t="n"/>
      <c r="F71" s="91" t="n"/>
      <c r="G71" s="7" t="inlineStr">
        <is>
          <t>駐車場</t>
        </is>
      </c>
      <c r="H71" s="7" t="inlineStr">
        <is>
          <t>なし</t>
        </is>
      </c>
    </row>
    <row r="72">
      <c r="A72" s="7" t="inlineStr">
        <is>
          <t>ヨシテル(三郷)</t>
        </is>
      </c>
      <c r="B72" s="8" t="inlineStr">
        <is>
          <t>賃借料</t>
        </is>
      </c>
      <c r="C72" s="91" t="n"/>
      <c r="D72" s="91" t="n"/>
      <c r="E72" s="91" t="n"/>
      <c r="F72" s="91" t="n"/>
      <c r="G72" s="7" t="inlineStr">
        <is>
          <t>駐車場</t>
        </is>
      </c>
      <c r="H72" s="7" t="inlineStr">
        <is>
          <t>なし</t>
        </is>
      </c>
    </row>
    <row r="73">
      <c r="A73" s="7" t="inlineStr">
        <is>
          <t>中沢酒造株式会社</t>
        </is>
      </c>
      <c r="B73" s="8" t="inlineStr">
        <is>
          <t>賃借料</t>
        </is>
      </c>
      <c r="C73" s="91" t="n"/>
      <c r="D73" s="91" t="n"/>
      <c r="E73" s="91" t="n"/>
      <c r="F73" s="91" t="n"/>
      <c r="G73" s="7" t="inlineStr">
        <is>
          <t>前払い足柄店駐車場10台</t>
        </is>
      </c>
      <c r="H73" s="7" t="inlineStr">
        <is>
          <t>なし</t>
        </is>
      </c>
    </row>
    <row r="74">
      <c r="A74" s="7" t="inlineStr">
        <is>
          <t>豊田駐車場(孝司)</t>
        </is>
      </c>
      <c r="B74" s="8" t="inlineStr">
        <is>
          <t>賃借料</t>
        </is>
      </c>
      <c r="C74" s="91" t="n"/>
      <c r="D74" s="85" t="n">
        <v>165000</v>
      </c>
      <c r="E74" s="85" t="n">
        <v>165000</v>
      </c>
      <c r="F74" s="85" t="n">
        <v>165000</v>
      </c>
      <c r="G74" s="7" t="inlineStr">
        <is>
          <t>駐車場</t>
        </is>
      </c>
      <c r="H74" s="7" t="inlineStr">
        <is>
          <t>なし</t>
        </is>
      </c>
    </row>
    <row r="75">
      <c r="A75" s="7" t="inlineStr">
        <is>
          <t>山脇土地</t>
        </is>
      </c>
      <c r="B75" s="8" t="inlineStr">
        <is>
          <t>賃借料</t>
        </is>
      </c>
      <c r="C75" s="91" t="n"/>
      <c r="D75" s="85" t="n">
        <v>55000</v>
      </c>
      <c r="E75" s="85" t="n">
        <v>55000</v>
      </c>
      <c r="F75" s="85" t="n">
        <v>55000</v>
      </c>
      <c r="G75" s="7" t="inlineStr">
        <is>
          <t>駐車場</t>
        </is>
      </c>
      <c r="H75" s="7" t="inlineStr">
        <is>
          <t>なし</t>
        </is>
      </c>
    </row>
    <row r="76">
      <c r="A76" s="7" t="inlineStr">
        <is>
          <t>ヤナセ住販</t>
        </is>
      </c>
      <c r="B76" s="8" t="inlineStr">
        <is>
          <t>賃借料</t>
        </is>
      </c>
      <c r="C76" s="91" t="n"/>
      <c r="D76" s="85" t="n">
        <v>35200</v>
      </c>
      <c r="E76" s="85" t="n">
        <v>35200</v>
      </c>
      <c r="F76" s="85" t="n">
        <v>35200</v>
      </c>
      <c r="G76" s="7" t="inlineStr">
        <is>
          <t>駐車場</t>
        </is>
      </c>
      <c r="H76" s="7" t="inlineStr">
        <is>
          <t>なし</t>
        </is>
      </c>
    </row>
    <row r="77">
      <c r="A77" s="7" t="inlineStr">
        <is>
          <t>林 横浜駐車場</t>
        </is>
      </c>
      <c r="B77" s="8" t="inlineStr">
        <is>
          <t>賃借料</t>
        </is>
      </c>
      <c r="C77" s="91" t="n"/>
      <c r="D77" s="85" t="n">
        <v>90000</v>
      </c>
      <c r="E77" s="85" t="n">
        <v>90000</v>
      </c>
      <c r="F77" s="85" t="n">
        <v>90000</v>
      </c>
      <c r="G77" s="7" t="inlineStr">
        <is>
          <t>駐車場</t>
        </is>
      </c>
      <c r="H77" s="7" t="inlineStr">
        <is>
          <t>なし</t>
        </is>
      </c>
    </row>
    <row r="78">
      <c r="A78" s="7" t="inlineStr">
        <is>
          <t>大栄不動産</t>
        </is>
      </c>
      <c r="B78" s="8" t="inlineStr">
        <is>
          <t>賃借料</t>
        </is>
      </c>
      <c r="C78" s="91" t="n"/>
      <c r="D78" s="85" t="n">
        <v>29700</v>
      </c>
      <c r="E78" s="85" t="n">
        <v>29700</v>
      </c>
      <c r="F78" s="85" t="n">
        <v>29700</v>
      </c>
      <c r="G78" s="7" t="inlineStr">
        <is>
          <t>駐車場</t>
        </is>
      </c>
      <c r="H78" s="7" t="inlineStr">
        <is>
          <t>なし</t>
        </is>
      </c>
    </row>
    <row r="79">
      <c r="A79" s="7" t="inlineStr">
        <is>
          <t>大東建託</t>
        </is>
      </c>
      <c r="B79" s="8" t="inlineStr">
        <is>
          <t>賃借料</t>
        </is>
      </c>
      <c r="C79" s="91" t="n"/>
      <c r="D79" s="85" t="n">
        <v>67300</v>
      </c>
      <c r="E79" s="85" t="n">
        <v>67300</v>
      </c>
      <c r="F79" s="85" t="n">
        <v>67300</v>
      </c>
      <c r="G79" s="7" t="inlineStr">
        <is>
          <t>アパート</t>
        </is>
      </c>
      <c r="H79" s="7" t="inlineStr">
        <is>
          <t>なし</t>
        </is>
      </c>
    </row>
    <row r="80">
      <c r="A80" s="7" t="inlineStr">
        <is>
          <t>三郷中央クリニック</t>
        </is>
      </c>
      <c r="B80" s="8" t="inlineStr">
        <is>
          <t>雑費</t>
        </is>
      </c>
      <c r="C80" s="91" t="n"/>
      <c r="D80" s="85" t="n">
        <v>60000</v>
      </c>
      <c r="E80" s="85" t="n">
        <v>60000</v>
      </c>
      <c r="F80" s="85" t="n">
        <v>60000</v>
      </c>
      <c r="G80" s="7" t="inlineStr">
        <is>
          <t>産業医</t>
        </is>
      </c>
      <c r="H80" s="7" t="inlineStr">
        <is>
          <t>なし</t>
        </is>
      </c>
    </row>
    <row r="82">
      <c r="A82" s="62" t="inlineStr">
        <is>
          <t>合計金額</t>
        </is>
      </c>
      <c r="B82" s="62" t="n"/>
      <c r="C82" s="62" t="n"/>
      <c r="D82" s="92">
        <f>SUM(D3:D80)</f>
        <v/>
      </c>
      <c r="E82" s="92">
        <f>SUM(E3:E67)</f>
        <v/>
      </c>
      <c r="F82" s="92">
        <f>SUM(F3:F67)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2026-08-20T08:16:49Z</dcterms:created>
  <dcterms:modified xsi:type="dcterms:W3CDTF">2026-09-10T12:54:02Z</dcterms:modified>
  <cp:lastModifiedBy>001 UrbanPC</cp:lastModifiedBy>
  <cp:revision>0</cp:revision>
</cp:coreProperties>
</file>