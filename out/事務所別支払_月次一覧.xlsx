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15720" tabRatio="600" firstSheet="0" activeTab="0" autoFilterDateGrouping="1"/>
  </bookViews>
  <sheets>
    <sheet name="月次一覧" sheetId="1" state="visible" r:id="rId1"/>
    <sheet name="井坂事務所" sheetId="2" state="visible" r:id="rId2"/>
    <sheet name="岡崎事務所" sheetId="3" state="visible" r:id="rId3"/>
    <sheet name="綾測" sheetId="4" state="visible" r:id="rId4"/>
    <sheet name="合計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#,##0_);[Red]\(#,##0\)"/>
    <numFmt numFmtId="165" formatCode="yyyy&quot;年&quot;m&quot;月&quot;"/>
  </numFmts>
  <fonts count="1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b val="1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sz val="11"/>
      <scheme val="minor"/>
    </font>
    <font>
      <b val="1"/>
      <sz val="14"/>
    </font>
    <font>
      <color rgb="00808080"/>
      <sz val="9"/>
    </font>
    <font>
      <b val="1"/>
      <color rgb="00FFFFFF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E79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1" fillId="0" borderId="0" applyAlignment="1">
      <alignment vertical="center"/>
    </xf>
    <xf numFmtId="38" fontId="1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horizontal="right" vertical="center"/>
    </xf>
    <xf numFmtId="38" fontId="0" fillId="0" borderId="0" applyAlignment="1" pivotButton="0" quotePrefix="0" xfId="1">
      <alignment vertical="center"/>
    </xf>
    <xf numFmtId="38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38" fontId="3" fillId="0" borderId="0" applyAlignment="1" pivotButton="0" quotePrefix="0" xfId="1">
      <alignment vertical="center"/>
    </xf>
    <xf numFmtId="38" fontId="0" fillId="0" borderId="0" applyAlignment="1" pivotButton="0" quotePrefix="0" xfId="1">
      <alignment horizontal="right" vertical="center"/>
    </xf>
    <xf numFmtId="14" fontId="4" fillId="0" borderId="0" applyAlignment="1" pivotButton="0" quotePrefix="0" xfId="0">
      <alignment horizontal="right" vertical="center"/>
    </xf>
    <xf numFmtId="38" fontId="4" fillId="0" borderId="0" applyAlignment="1" pivotButton="0" quotePrefix="0" xfId="1">
      <alignment horizontal="right" vertical="center"/>
    </xf>
    <xf numFmtId="38" fontId="4" fillId="0" borderId="0" applyAlignment="1" pivotButton="0" quotePrefix="0" xfId="1">
      <alignment vertical="center"/>
    </xf>
    <xf numFmtId="38" fontId="4" fillId="0" borderId="0" applyAlignment="1" pivotButton="0" quotePrefix="0" xfId="0">
      <alignment vertical="center"/>
    </xf>
    <xf numFmtId="164" fontId="3" fillId="0" borderId="0" applyAlignment="1" pivotButton="0" quotePrefix="0" xfId="1">
      <alignment vertical="center"/>
    </xf>
    <xf numFmtId="164" fontId="3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4" fontId="3" fillId="0" borderId="0" applyAlignment="1" pivotButton="0" quotePrefix="0" xfId="0">
      <alignment horizontal="right" vertical="center"/>
    </xf>
    <xf numFmtId="38" fontId="5" fillId="0" borderId="0" applyAlignment="1" pivotButton="0" quotePrefix="0" xfId="1">
      <alignment horizontal="right" vertical="center"/>
    </xf>
    <xf numFmtId="38" fontId="5" fillId="0" borderId="0" applyAlignment="1" pivotButton="0" quotePrefix="0" xfId="1">
      <alignment vertical="center"/>
    </xf>
    <xf numFmtId="38" fontId="5" fillId="0" borderId="0" applyAlignment="1" pivotButton="0" quotePrefix="0" xfId="0">
      <alignment vertical="center"/>
    </xf>
    <xf numFmtId="14" fontId="4" fillId="0" borderId="0" applyAlignment="1" pivotButton="0" quotePrefix="0" xfId="0">
      <alignment vertical="center"/>
    </xf>
    <xf numFmtId="38" fontId="4" fillId="2" borderId="0" applyAlignment="1" pivotButton="0" quotePrefix="0" xfId="0">
      <alignment vertical="center"/>
    </xf>
    <xf numFmtId="38" fontId="3" fillId="2" borderId="0" applyAlignment="1" pivotButton="0" quotePrefix="0" xfId="1">
      <alignment vertical="center"/>
    </xf>
    <xf numFmtId="38" fontId="0" fillId="2" borderId="0" applyAlignment="1" pivotButton="0" quotePrefix="0" xfId="1">
      <alignment vertical="center"/>
    </xf>
    <xf numFmtId="38" fontId="6" fillId="0" borderId="0" applyAlignment="1" pivotButton="0" quotePrefix="0" xfId="1">
      <alignment vertical="center"/>
    </xf>
    <xf numFmtId="38" fontId="6" fillId="0" borderId="0" applyAlignment="1" pivotButton="0" quotePrefix="0" xfId="1">
      <alignment horizontal="right" vertical="center"/>
    </xf>
    <xf numFmtId="38" fontId="7" fillId="0" borderId="0" applyAlignment="1" pivotButton="0" quotePrefix="0" xfId="1">
      <alignment horizontal="right" vertical="center"/>
    </xf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0" fillId="0" borderId="1" pivotButton="0" quotePrefix="0" xfId="0"/>
    <xf numFmtId="0" fontId="10" fillId="3" borderId="2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/>
    </xf>
    <xf numFmtId="164" fontId="0" fillId="0" borderId="2" pivotButton="0" quotePrefix="0" xfId="0"/>
    <xf numFmtId="164" fontId="0" fillId="0" borderId="1" pivotButton="0" quotePrefix="0" xfId="0"/>
    <xf numFmtId="164" fontId="11" fillId="4" borderId="1" pivotButton="0" quotePrefix="0" xfId="0"/>
    <xf numFmtId="0" fontId="11" fillId="5" borderId="1" pivotButton="0" quotePrefix="0" xfId="0"/>
    <xf numFmtId="164" fontId="11" fillId="5" borderId="2" pivotButton="0" quotePrefix="0" xfId="0"/>
    <xf numFmtId="164" fontId="11" fillId="5" borderId="1" pivotButton="0" quotePrefix="0" xfId="0"/>
    <xf numFmtId="0" fontId="12" fillId="6" borderId="1" pivotButton="0" quotePrefix="0" xfId="0"/>
    <xf numFmtId="164" fontId="12" fillId="6" borderId="2" pivotButton="0" quotePrefix="0" xfId="0"/>
    <xf numFmtId="164" fontId="12" fillId="6" borderId="1" pivotButton="0" quotePrefix="0" xfId="0"/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4" fontId="3" fillId="0" borderId="0" applyAlignment="1" pivotButton="0" quotePrefix="0" xfId="1">
      <alignment vertical="center"/>
    </xf>
    <xf numFmtId="164" fontId="3" fillId="0" borderId="0" applyAlignment="1" pivotButton="0" quotePrefix="0" xfId="0">
      <alignment vertical="center"/>
    </xf>
  </cellXfs>
  <cellStyles count="2">
    <cellStyle name="標準" xfId="0" builtinId="0"/>
    <cellStyle name="桁区切り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style="27" min="1" max="1"/>
    <col width="14" customWidth="1" style="27" min="2" max="2"/>
    <col width="14" customWidth="1" style="27" min="3" max="3"/>
    <col width="14" customWidth="1" style="27" min="4" max="4"/>
    <col width="14" customWidth="1" style="27" min="5" max="5"/>
    <col width="14" customWidth="1" style="27" min="6" max="6"/>
    <col width="14" customWidth="1" style="27" min="7" max="7"/>
    <col width="14" customWidth="1" style="27" min="8" max="8"/>
    <col width="14" customWidth="1" style="27" min="9" max="9"/>
    <col width="14" customWidth="1" style="27" min="10" max="10"/>
    <col width="14" customWidth="1" style="27" min="11" max="11"/>
    <col width="14" customWidth="1" style="27" min="12" max="12"/>
    <col width="14" customWidth="1" style="27" min="13" max="13"/>
  </cols>
  <sheetData>
    <row r="1">
      <c r="A1" s="28" t="inlineStr">
        <is>
          <t>事務所別 月次支払一覧</t>
        </is>
      </c>
      <c r="C1" s="29" t="inlineStr">
        <is>
          <t>※ 金額は各事務所シートへの参照です。元シートを直すとこの表も変わります。</t>
        </is>
      </c>
    </row>
    <row r="3">
      <c r="A3" s="30" t="inlineStr">
        <is>
          <t>支払日</t>
        </is>
      </c>
      <c r="B3" s="31" t="inlineStr">
        <is>
          <t>振込額（支払額）</t>
        </is>
      </c>
      <c r="C3" s="32" t="n"/>
      <c r="D3" s="32" t="n"/>
      <c r="E3" s="32" t="n"/>
      <c r="F3" s="31" t="inlineStr">
        <is>
          <t>請求額（税込み）</t>
        </is>
      </c>
      <c r="G3" s="32" t="n"/>
      <c r="H3" s="32" t="n"/>
      <c r="I3" s="32" t="n"/>
      <c r="J3" s="31" t="inlineStr">
        <is>
          <t>源泉徴収額</t>
        </is>
      </c>
      <c r="K3" s="32" t="n"/>
      <c r="L3" s="32" t="n"/>
      <c r="M3" s="32" t="n"/>
    </row>
    <row r="4" ht="32" customHeight="1" s="27">
      <c r="B4" s="33" t="inlineStr">
        <is>
          <t>井坂事務所</t>
        </is>
      </c>
      <c r="C4" s="34" t="inlineStr">
        <is>
          <t>岡崎事務所</t>
        </is>
      </c>
      <c r="D4" s="34" t="inlineStr">
        <is>
          <t>綾測</t>
        </is>
      </c>
      <c r="E4" s="34" t="inlineStr">
        <is>
          <t>合計</t>
        </is>
      </c>
      <c r="F4" s="33" t="inlineStr">
        <is>
          <t>井坂事務所</t>
        </is>
      </c>
      <c r="G4" s="34" t="inlineStr">
        <is>
          <t>岡崎事務所</t>
        </is>
      </c>
      <c r="H4" s="34" t="inlineStr">
        <is>
          <t>綾測</t>
        </is>
      </c>
      <c r="I4" s="34" t="inlineStr">
        <is>
          <t>合計</t>
        </is>
      </c>
      <c r="J4" s="33" t="inlineStr">
        <is>
          <t>井坂事務所</t>
        </is>
      </c>
      <c r="K4" s="34" t="inlineStr">
        <is>
          <t>岡崎事務所</t>
        </is>
      </c>
      <c r="L4" s="34" t="inlineStr">
        <is>
          <t>綾測</t>
        </is>
      </c>
      <c r="M4" s="34" t="inlineStr">
        <is>
          <t>合計</t>
        </is>
      </c>
    </row>
    <row r="5">
      <c r="A5" s="35">
        <f>'井坂事務所'!A2</f>
        <v/>
      </c>
      <c r="B5" s="36">
        <f>IF(N('井坂事務所'!F2)=0,"",'井坂事務所'!F2)</f>
        <v/>
      </c>
      <c r="C5" s="37">
        <f>IF(N('岡崎事務所'!F2)=0,"",'岡崎事務所'!F2)</f>
        <v/>
      </c>
      <c r="D5" s="37">
        <f>IF(N('綾測'!F2)=0,"",'綾測'!F2)</f>
        <v/>
      </c>
      <c r="E5" s="38">
        <f>IF(SUM(B5:D5)=0,"",SUM(B5:D5))</f>
        <v/>
      </c>
      <c r="F5" s="36">
        <f>IF(N('井坂事務所'!D2)=0,"",'井坂事務所'!D2)</f>
        <v/>
      </c>
      <c r="G5" s="37">
        <f>IF(N('岡崎事務所'!D2)=0,"",'岡崎事務所'!D2)</f>
        <v/>
      </c>
      <c r="H5" s="37">
        <f>IF(N('綾測'!D2)=0,"",'綾測'!D2)</f>
        <v/>
      </c>
      <c r="I5" s="38">
        <f>IF(SUM(F5:H5)=0,"",SUM(F5:H5))</f>
        <v/>
      </c>
      <c r="J5" s="36">
        <f>IF(N('井坂事務所'!E2)=0,"",'井坂事務所'!E2)</f>
        <v/>
      </c>
      <c r="K5" s="37">
        <f>IF(N('岡崎事務所'!E2)=0,"",'岡崎事務所'!E2)</f>
        <v/>
      </c>
      <c r="L5" s="37">
        <f>IF(N('綾測'!E2)=0,"",'綾測'!E2)</f>
        <v/>
      </c>
      <c r="M5" s="38">
        <f>IF(SUM(J5:L5)=0,"",SUM(J5:L5))</f>
        <v/>
      </c>
    </row>
    <row r="6">
      <c r="A6" s="35">
        <f>'井坂事務所'!A3</f>
        <v/>
      </c>
      <c r="B6" s="36">
        <f>IF(N('井坂事務所'!F3)=0,"",'井坂事務所'!F3)</f>
        <v/>
      </c>
      <c r="C6" s="37">
        <f>IF(N('岡崎事務所'!F3)=0,"",'岡崎事務所'!F3)</f>
        <v/>
      </c>
      <c r="D6" s="37">
        <f>IF(N('綾測'!F3)=0,"",'綾測'!F3)</f>
        <v/>
      </c>
      <c r="E6" s="38">
        <f>IF(SUM(B6:D6)=0,"",SUM(B6:D6))</f>
        <v/>
      </c>
      <c r="F6" s="36">
        <f>IF(N('井坂事務所'!D3)=0,"",'井坂事務所'!D3)</f>
        <v/>
      </c>
      <c r="G6" s="37">
        <f>IF(N('岡崎事務所'!D3)=0,"",'岡崎事務所'!D3)</f>
        <v/>
      </c>
      <c r="H6" s="37">
        <f>IF(N('綾測'!D3)=0,"",'綾測'!D3)</f>
        <v/>
      </c>
      <c r="I6" s="38">
        <f>IF(SUM(F6:H6)=0,"",SUM(F6:H6))</f>
        <v/>
      </c>
      <c r="J6" s="36">
        <f>IF(N('井坂事務所'!E3)=0,"",'井坂事務所'!E3)</f>
        <v/>
      </c>
      <c r="K6" s="37">
        <f>IF(N('岡崎事務所'!E3)=0,"",'岡崎事務所'!E3)</f>
        <v/>
      </c>
      <c r="L6" s="37">
        <f>IF(N('綾測'!E3)=0,"",'綾測'!E3)</f>
        <v/>
      </c>
      <c r="M6" s="38">
        <f>IF(SUM(J6:L6)=0,"",SUM(J6:L6))</f>
        <v/>
      </c>
    </row>
    <row r="7">
      <c r="A7" s="35">
        <f>'井坂事務所'!A4</f>
        <v/>
      </c>
      <c r="B7" s="36">
        <f>IF(N('井坂事務所'!F4)=0,"",'井坂事務所'!F4)</f>
        <v/>
      </c>
      <c r="C7" s="37">
        <f>IF(N('岡崎事務所'!F4)=0,"",'岡崎事務所'!F4)</f>
        <v/>
      </c>
      <c r="D7" s="37">
        <f>IF(N('綾測'!F4)=0,"",'綾測'!F4)</f>
        <v/>
      </c>
      <c r="E7" s="38">
        <f>IF(SUM(B7:D7)=0,"",SUM(B7:D7))</f>
        <v/>
      </c>
      <c r="F7" s="36">
        <f>IF(N('井坂事務所'!D4)=0,"",'井坂事務所'!D4)</f>
        <v/>
      </c>
      <c r="G7" s="37">
        <f>IF(N('岡崎事務所'!D4)=0,"",'岡崎事務所'!D4)</f>
        <v/>
      </c>
      <c r="H7" s="37">
        <f>IF(N('綾測'!D4)=0,"",'綾測'!D4)</f>
        <v/>
      </c>
      <c r="I7" s="38">
        <f>IF(SUM(F7:H7)=0,"",SUM(F7:H7))</f>
        <v/>
      </c>
      <c r="J7" s="36">
        <f>IF(N('井坂事務所'!E4)=0,"",'井坂事務所'!E4)</f>
        <v/>
      </c>
      <c r="K7" s="37">
        <f>IF(N('岡崎事務所'!E4)=0,"",'岡崎事務所'!E4)</f>
        <v/>
      </c>
      <c r="L7" s="37">
        <f>IF(N('綾測'!E4)=0,"",'綾測'!E4)</f>
        <v/>
      </c>
      <c r="M7" s="38">
        <f>IF(SUM(J7:L7)=0,"",SUM(J7:L7))</f>
        <v/>
      </c>
    </row>
    <row r="8">
      <c r="A8" s="35">
        <f>'井坂事務所'!A5</f>
        <v/>
      </c>
      <c r="B8" s="36">
        <f>IF(N('井坂事務所'!F5)=0,"",'井坂事務所'!F5)</f>
        <v/>
      </c>
      <c r="C8" s="37">
        <f>IF(N('岡崎事務所'!F5)=0,"",'岡崎事務所'!F5)</f>
        <v/>
      </c>
      <c r="D8" s="37">
        <f>IF(N('綾測'!F5)=0,"",'綾測'!F5)</f>
        <v/>
      </c>
      <c r="E8" s="38">
        <f>IF(SUM(B8:D8)=0,"",SUM(B8:D8))</f>
        <v/>
      </c>
      <c r="F8" s="36">
        <f>IF(N('井坂事務所'!D5)=0,"",'井坂事務所'!D5)</f>
        <v/>
      </c>
      <c r="G8" s="37">
        <f>IF(N('岡崎事務所'!D5)=0,"",'岡崎事務所'!D5)</f>
        <v/>
      </c>
      <c r="H8" s="37">
        <f>IF(N('綾測'!D5)=0,"",'綾測'!D5)</f>
        <v/>
      </c>
      <c r="I8" s="38">
        <f>IF(SUM(F8:H8)=0,"",SUM(F8:H8))</f>
        <v/>
      </c>
      <c r="J8" s="36">
        <f>IF(N('井坂事務所'!E5)=0,"",'井坂事務所'!E5)</f>
        <v/>
      </c>
      <c r="K8" s="37">
        <f>IF(N('岡崎事務所'!E5)=0,"",'岡崎事務所'!E5)</f>
        <v/>
      </c>
      <c r="L8" s="37">
        <f>IF(N('綾測'!E5)=0,"",'綾測'!E5)</f>
        <v/>
      </c>
      <c r="M8" s="38">
        <f>IF(SUM(J8:L8)=0,"",SUM(J8:L8))</f>
        <v/>
      </c>
    </row>
    <row r="9">
      <c r="A9" s="35">
        <f>'井坂事務所'!A6</f>
        <v/>
      </c>
      <c r="B9" s="36">
        <f>IF(N('井坂事務所'!F6)=0,"",'井坂事務所'!F6)</f>
        <v/>
      </c>
      <c r="C9" s="37">
        <f>IF(N('岡崎事務所'!F6)=0,"",'岡崎事務所'!F6)</f>
        <v/>
      </c>
      <c r="D9" s="37">
        <f>IF(N('綾測'!F6)=0,"",'綾測'!F6)</f>
        <v/>
      </c>
      <c r="E9" s="38">
        <f>IF(SUM(B9:D9)=0,"",SUM(B9:D9))</f>
        <v/>
      </c>
      <c r="F9" s="36">
        <f>IF(N('井坂事務所'!D6)=0,"",'井坂事務所'!D6)</f>
        <v/>
      </c>
      <c r="G9" s="37">
        <f>IF(N('岡崎事務所'!D6)=0,"",'岡崎事務所'!D6)</f>
        <v/>
      </c>
      <c r="H9" s="37">
        <f>IF(N('綾測'!D6)=0,"",'綾測'!D6)</f>
        <v/>
      </c>
      <c r="I9" s="38">
        <f>IF(SUM(F9:H9)=0,"",SUM(F9:H9))</f>
        <v/>
      </c>
      <c r="J9" s="36">
        <f>IF(N('井坂事務所'!E6)=0,"",'井坂事務所'!E6)</f>
        <v/>
      </c>
      <c r="K9" s="37">
        <f>IF(N('岡崎事務所'!E6)=0,"",'岡崎事務所'!E6)</f>
        <v/>
      </c>
      <c r="L9" s="37">
        <f>IF(N('綾測'!E6)=0,"",'綾測'!E6)</f>
        <v/>
      </c>
      <c r="M9" s="38">
        <f>IF(SUM(J9:L9)=0,"",SUM(J9:L9))</f>
        <v/>
      </c>
    </row>
    <row r="10">
      <c r="A10" s="35">
        <f>'井坂事務所'!A7</f>
        <v/>
      </c>
      <c r="B10" s="36">
        <f>IF(N('井坂事務所'!F7)=0,"",'井坂事務所'!F7)</f>
        <v/>
      </c>
      <c r="C10" s="37">
        <f>IF(N('岡崎事務所'!F7)=0,"",'岡崎事務所'!F7)</f>
        <v/>
      </c>
      <c r="D10" s="37">
        <f>IF(N('綾測'!F7)=0,"",'綾測'!F7)</f>
        <v/>
      </c>
      <c r="E10" s="38">
        <f>IF(SUM(B10:D10)=0,"",SUM(B10:D10))</f>
        <v/>
      </c>
      <c r="F10" s="36">
        <f>IF(N('井坂事務所'!D7)=0,"",'井坂事務所'!D7)</f>
        <v/>
      </c>
      <c r="G10" s="37">
        <f>IF(N('岡崎事務所'!D7)=0,"",'岡崎事務所'!D7)</f>
        <v/>
      </c>
      <c r="H10" s="37">
        <f>IF(N('綾測'!D7)=0,"",'綾測'!D7)</f>
        <v/>
      </c>
      <c r="I10" s="38">
        <f>IF(SUM(F10:H10)=0,"",SUM(F10:H10))</f>
        <v/>
      </c>
      <c r="J10" s="36">
        <f>IF(N('井坂事務所'!E7)=0,"",'井坂事務所'!E7)</f>
        <v/>
      </c>
      <c r="K10" s="37">
        <f>IF(N('岡崎事務所'!E7)=0,"",'岡崎事務所'!E7)</f>
        <v/>
      </c>
      <c r="L10" s="37">
        <f>IF(N('綾測'!E7)=0,"",'綾測'!E7)</f>
        <v/>
      </c>
      <c r="M10" s="38">
        <f>IF(SUM(J10:L10)=0,"",SUM(J10:L10))</f>
        <v/>
      </c>
    </row>
    <row r="11">
      <c r="A11" s="35">
        <f>'井坂事務所'!A8</f>
        <v/>
      </c>
      <c r="B11" s="36">
        <f>IF(N('井坂事務所'!F8)=0,"",'井坂事務所'!F8)</f>
        <v/>
      </c>
      <c r="C11" s="37">
        <f>IF(N('岡崎事務所'!F8)=0,"",'岡崎事務所'!F8)</f>
        <v/>
      </c>
      <c r="D11" s="37">
        <f>IF(N('綾測'!F8)=0,"",'綾測'!F8)</f>
        <v/>
      </c>
      <c r="E11" s="38">
        <f>IF(SUM(B11:D11)=0,"",SUM(B11:D11))</f>
        <v/>
      </c>
      <c r="F11" s="36">
        <f>IF(N('井坂事務所'!D8)=0,"",'井坂事務所'!D8)</f>
        <v/>
      </c>
      <c r="G11" s="37">
        <f>IF(N('岡崎事務所'!D8)=0,"",'岡崎事務所'!D8)</f>
        <v/>
      </c>
      <c r="H11" s="37">
        <f>IF(N('綾測'!D8)=0,"",'綾測'!D8)</f>
        <v/>
      </c>
      <c r="I11" s="38">
        <f>IF(SUM(F11:H11)=0,"",SUM(F11:H11))</f>
        <v/>
      </c>
      <c r="J11" s="36">
        <f>IF(N('井坂事務所'!E8)=0,"",'井坂事務所'!E8)</f>
        <v/>
      </c>
      <c r="K11" s="37">
        <f>IF(N('岡崎事務所'!E8)=0,"",'岡崎事務所'!E8)</f>
        <v/>
      </c>
      <c r="L11" s="37">
        <f>IF(N('綾測'!E8)=0,"",'綾測'!E8)</f>
        <v/>
      </c>
      <c r="M11" s="38">
        <f>IF(SUM(J11:L11)=0,"",SUM(J11:L11))</f>
        <v/>
      </c>
    </row>
    <row r="12">
      <c r="A12" s="35">
        <f>'井坂事務所'!A9</f>
        <v/>
      </c>
      <c r="B12" s="36">
        <f>IF(N('井坂事務所'!F9)=0,"",'井坂事務所'!F9)</f>
        <v/>
      </c>
      <c r="C12" s="37">
        <f>IF(N('岡崎事務所'!F9)=0,"",'岡崎事務所'!F9)</f>
        <v/>
      </c>
      <c r="D12" s="37">
        <f>IF(N('綾測'!F9)=0,"",'綾測'!F9)</f>
        <v/>
      </c>
      <c r="E12" s="38">
        <f>IF(SUM(B12:D12)=0,"",SUM(B12:D12))</f>
        <v/>
      </c>
      <c r="F12" s="36">
        <f>IF(N('井坂事務所'!D9)=0,"",'井坂事務所'!D9)</f>
        <v/>
      </c>
      <c r="G12" s="37">
        <f>IF(N('岡崎事務所'!D9)=0,"",'岡崎事務所'!D9)</f>
        <v/>
      </c>
      <c r="H12" s="37">
        <f>IF(N('綾測'!D9)=0,"",'綾測'!D9)</f>
        <v/>
      </c>
      <c r="I12" s="38">
        <f>IF(SUM(F12:H12)=0,"",SUM(F12:H12))</f>
        <v/>
      </c>
      <c r="J12" s="36">
        <f>IF(N('井坂事務所'!E9)=0,"",'井坂事務所'!E9)</f>
        <v/>
      </c>
      <c r="K12" s="37">
        <f>IF(N('岡崎事務所'!E9)=0,"",'岡崎事務所'!E9)</f>
        <v/>
      </c>
      <c r="L12" s="37">
        <f>IF(N('綾測'!E9)=0,"",'綾測'!E9)</f>
        <v/>
      </c>
      <c r="M12" s="38">
        <f>IF(SUM(J12:L12)=0,"",SUM(J12:L12))</f>
        <v/>
      </c>
    </row>
    <row r="13">
      <c r="A13" s="35">
        <f>'井坂事務所'!A10</f>
        <v/>
      </c>
      <c r="B13" s="36">
        <f>IF(N('井坂事務所'!F10)=0,"",'井坂事務所'!F10)</f>
        <v/>
      </c>
      <c r="C13" s="37">
        <f>IF(N('岡崎事務所'!F10)=0,"",'岡崎事務所'!F10)</f>
        <v/>
      </c>
      <c r="D13" s="37">
        <f>IF(N('綾測'!F10)=0,"",'綾測'!F10)</f>
        <v/>
      </c>
      <c r="E13" s="38">
        <f>IF(SUM(B13:D13)=0,"",SUM(B13:D13))</f>
        <v/>
      </c>
      <c r="F13" s="36">
        <f>IF(N('井坂事務所'!D10)=0,"",'井坂事務所'!D10)</f>
        <v/>
      </c>
      <c r="G13" s="37">
        <f>IF(N('岡崎事務所'!D10)=0,"",'岡崎事務所'!D10)</f>
        <v/>
      </c>
      <c r="H13" s="37">
        <f>IF(N('綾測'!D10)=0,"",'綾測'!D10)</f>
        <v/>
      </c>
      <c r="I13" s="38">
        <f>IF(SUM(F13:H13)=0,"",SUM(F13:H13))</f>
        <v/>
      </c>
      <c r="J13" s="36">
        <f>IF(N('井坂事務所'!E10)=0,"",'井坂事務所'!E10)</f>
        <v/>
      </c>
      <c r="K13" s="37">
        <f>IF(N('岡崎事務所'!E10)=0,"",'岡崎事務所'!E10)</f>
        <v/>
      </c>
      <c r="L13" s="37">
        <f>IF(N('綾測'!E10)=0,"",'綾測'!E10)</f>
        <v/>
      </c>
      <c r="M13" s="38">
        <f>IF(SUM(J13:L13)=0,"",SUM(J13:L13))</f>
        <v/>
      </c>
    </row>
    <row r="14">
      <c r="A14" s="35">
        <f>'井坂事務所'!A11</f>
        <v/>
      </c>
      <c r="B14" s="36">
        <f>IF(N('井坂事務所'!F11)=0,"",'井坂事務所'!F11)</f>
        <v/>
      </c>
      <c r="C14" s="37">
        <f>IF(N('岡崎事務所'!F11)=0,"",'岡崎事務所'!F11)</f>
        <v/>
      </c>
      <c r="D14" s="37">
        <f>IF(N('綾測'!F11)=0,"",'綾測'!F11)</f>
        <v/>
      </c>
      <c r="E14" s="38">
        <f>IF(SUM(B14:D14)=0,"",SUM(B14:D14))</f>
        <v/>
      </c>
      <c r="F14" s="36">
        <f>IF(N('井坂事務所'!D11)=0,"",'井坂事務所'!D11)</f>
        <v/>
      </c>
      <c r="G14" s="37">
        <f>IF(N('岡崎事務所'!D11)=0,"",'岡崎事務所'!D11)</f>
        <v/>
      </c>
      <c r="H14" s="37">
        <f>IF(N('綾測'!D11)=0,"",'綾測'!D11)</f>
        <v/>
      </c>
      <c r="I14" s="38">
        <f>IF(SUM(F14:H14)=0,"",SUM(F14:H14))</f>
        <v/>
      </c>
      <c r="J14" s="36">
        <f>IF(N('井坂事務所'!E11)=0,"",'井坂事務所'!E11)</f>
        <v/>
      </c>
      <c r="K14" s="37">
        <f>IF(N('岡崎事務所'!E11)=0,"",'岡崎事務所'!E11)</f>
        <v/>
      </c>
      <c r="L14" s="37">
        <f>IF(N('綾測'!E11)=0,"",'綾測'!E11)</f>
        <v/>
      </c>
      <c r="M14" s="38">
        <f>IF(SUM(J14:L14)=0,"",SUM(J14:L14))</f>
        <v/>
      </c>
    </row>
    <row r="15">
      <c r="A15" s="35">
        <f>'井坂事務所'!A12</f>
        <v/>
      </c>
      <c r="B15" s="36">
        <f>IF(N('井坂事務所'!F12)=0,"",'井坂事務所'!F12)</f>
        <v/>
      </c>
      <c r="C15" s="37">
        <f>IF(N('岡崎事務所'!F12)=0,"",'岡崎事務所'!F12)</f>
        <v/>
      </c>
      <c r="D15" s="37">
        <f>IF(N('綾測'!F12)=0,"",'綾測'!F12)</f>
        <v/>
      </c>
      <c r="E15" s="38">
        <f>IF(SUM(B15:D15)=0,"",SUM(B15:D15))</f>
        <v/>
      </c>
      <c r="F15" s="36">
        <f>IF(N('井坂事務所'!D12)=0,"",'井坂事務所'!D12)</f>
        <v/>
      </c>
      <c r="G15" s="37">
        <f>IF(N('岡崎事務所'!D12)=0,"",'岡崎事務所'!D12)</f>
        <v/>
      </c>
      <c r="H15" s="37">
        <f>IF(N('綾測'!D12)=0,"",'綾測'!D12)</f>
        <v/>
      </c>
      <c r="I15" s="38">
        <f>IF(SUM(F15:H15)=0,"",SUM(F15:H15))</f>
        <v/>
      </c>
      <c r="J15" s="36">
        <f>IF(N('井坂事務所'!E12)=0,"",'井坂事務所'!E12)</f>
        <v/>
      </c>
      <c r="K15" s="37">
        <f>IF(N('岡崎事務所'!E12)=0,"",'岡崎事務所'!E12)</f>
        <v/>
      </c>
      <c r="L15" s="37">
        <f>IF(N('綾測'!E12)=0,"",'綾測'!E12)</f>
        <v/>
      </c>
      <c r="M15" s="38">
        <f>IF(SUM(J15:L15)=0,"",SUM(J15:L15))</f>
        <v/>
      </c>
    </row>
    <row r="16">
      <c r="A16" s="35">
        <f>'井坂事務所'!A13</f>
        <v/>
      </c>
      <c r="B16" s="36">
        <f>IF(N('井坂事務所'!F13)=0,"",'井坂事務所'!F13)</f>
        <v/>
      </c>
      <c r="C16" s="37">
        <f>IF(N('岡崎事務所'!F13)=0,"",'岡崎事務所'!F13)</f>
        <v/>
      </c>
      <c r="D16" s="37">
        <f>IF(N('綾測'!F13)=0,"",'綾測'!F13)</f>
        <v/>
      </c>
      <c r="E16" s="38">
        <f>IF(SUM(B16:D16)=0,"",SUM(B16:D16))</f>
        <v/>
      </c>
      <c r="F16" s="36">
        <f>IF(N('井坂事務所'!D13)=0,"",'井坂事務所'!D13)</f>
        <v/>
      </c>
      <c r="G16" s="37">
        <f>IF(N('岡崎事務所'!D13)=0,"",'岡崎事務所'!D13)</f>
        <v/>
      </c>
      <c r="H16" s="37">
        <f>IF(N('綾測'!D13)=0,"",'綾測'!D13)</f>
        <v/>
      </c>
      <c r="I16" s="38">
        <f>IF(SUM(F16:H16)=0,"",SUM(F16:H16))</f>
        <v/>
      </c>
      <c r="J16" s="36">
        <f>IF(N('井坂事務所'!E13)=0,"",'井坂事務所'!E13)</f>
        <v/>
      </c>
      <c r="K16" s="37">
        <f>IF(N('岡崎事務所'!E13)=0,"",'岡崎事務所'!E13)</f>
        <v/>
      </c>
      <c r="L16" s="37">
        <f>IF(N('綾測'!E13)=0,"",'綾測'!E13)</f>
        <v/>
      </c>
      <c r="M16" s="38">
        <f>IF(SUM(J16:L16)=0,"",SUM(J16:L16))</f>
        <v/>
      </c>
    </row>
    <row r="17">
      <c r="A17" s="39" t="inlineStr">
        <is>
          <t>2026年 計</t>
        </is>
      </c>
      <c r="B17" s="40">
        <f>IF(SUM(B5:B16)=0,"",SUM(B5:B16))</f>
        <v/>
      </c>
      <c r="C17" s="41">
        <f>IF(SUM(C5:C16)=0,"",SUM(C5:C16))</f>
        <v/>
      </c>
      <c r="D17" s="41">
        <f>IF(SUM(D5:D16)=0,"",SUM(D5:D16))</f>
        <v/>
      </c>
      <c r="E17" s="41">
        <f>IF(SUM(E5:E16)=0,"",SUM(E5:E16))</f>
        <v/>
      </c>
      <c r="F17" s="40">
        <f>IF(SUM(F5:F16)=0,"",SUM(F5:F16))</f>
        <v/>
      </c>
      <c r="G17" s="41">
        <f>IF(SUM(G5:G16)=0,"",SUM(G5:G16))</f>
        <v/>
      </c>
      <c r="H17" s="41">
        <f>IF(SUM(H5:H16)=0,"",SUM(H5:H16))</f>
        <v/>
      </c>
      <c r="I17" s="41">
        <f>IF(SUM(I5:I16)=0,"",SUM(I5:I16))</f>
        <v/>
      </c>
      <c r="J17" s="40">
        <f>IF(SUM(J5:J16)=0,"",SUM(J5:J16))</f>
        <v/>
      </c>
      <c r="K17" s="41">
        <f>IF(SUM(K5:K16)=0,"",SUM(K5:K16))</f>
        <v/>
      </c>
      <c r="L17" s="41">
        <f>IF(SUM(L5:L16)=0,"",SUM(L5:L16))</f>
        <v/>
      </c>
      <c r="M17" s="41">
        <f>IF(SUM(M5:M16)=0,"",SUM(M5:M16))</f>
        <v/>
      </c>
    </row>
    <row r="18">
      <c r="A18" s="35">
        <f>'井坂事務所'!A14</f>
        <v/>
      </c>
      <c r="B18" s="36">
        <f>IF(N('井坂事務所'!F14)=0,"",'井坂事務所'!F14)</f>
        <v/>
      </c>
      <c r="C18" s="37">
        <f>IF(N('岡崎事務所'!F14)=0,"",'岡崎事務所'!F14)</f>
        <v/>
      </c>
      <c r="D18" s="37">
        <f>IF(N('綾測'!F14)=0,"",'綾測'!F14)</f>
        <v/>
      </c>
      <c r="E18" s="38">
        <f>IF(SUM(B18:D18)=0,"",SUM(B18:D18))</f>
        <v/>
      </c>
      <c r="F18" s="36">
        <f>IF(N('井坂事務所'!D14)=0,"",'井坂事務所'!D14)</f>
        <v/>
      </c>
      <c r="G18" s="37">
        <f>IF(N('岡崎事務所'!D14)=0,"",'岡崎事務所'!D14)</f>
        <v/>
      </c>
      <c r="H18" s="37">
        <f>IF(N('綾測'!D14)=0,"",'綾測'!D14)</f>
        <v/>
      </c>
      <c r="I18" s="38">
        <f>IF(SUM(F18:H18)=0,"",SUM(F18:H18))</f>
        <v/>
      </c>
      <c r="J18" s="36">
        <f>IF(N('井坂事務所'!E14)=0,"",'井坂事務所'!E14)</f>
        <v/>
      </c>
      <c r="K18" s="37">
        <f>IF(N('岡崎事務所'!E14)=0,"",'岡崎事務所'!E14)</f>
        <v/>
      </c>
      <c r="L18" s="37">
        <f>IF(N('綾測'!E14)=0,"",'綾測'!E14)</f>
        <v/>
      </c>
      <c r="M18" s="38">
        <f>IF(SUM(J18:L18)=0,"",SUM(J18:L18))</f>
        <v/>
      </c>
    </row>
    <row r="19">
      <c r="A19" s="35">
        <f>'井坂事務所'!A15</f>
        <v/>
      </c>
      <c r="B19" s="36">
        <f>IF(N('井坂事務所'!F15)=0,"",'井坂事務所'!F15)</f>
        <v/>
      </c>
      <c r="C19" s="37">
        <f>IF(N('岡崎事務所'!F15)=0,"",'岡崎事務所'!F15)</f>
        <v/>
      </c>
      <c r="D19" s="37">
        <f>IF(N('綾測'!F15)=0,"",'綾測'!F15)</f>
        <v/>
      </c>
      <c r="E19" s="38">
        <f>IF(SUM(B19:D19)=0,"",SUM(B19:D19))</f>
        <v/>
      </c>
      <c r="F19" s="36">
        <f>IF(N('井坂事務所'!D15)=0,"",'井坂事務所'!D15)</f>
        <v/>
      </c>
      <c r="G19" s="37">
        <f>IF(N('岡崎事務所'!D15)=0,"",'岡崎事務所'!D15)</f>
        <v/>
      </c>
      <c r="H19" s="37">
        <f>IF(N('綾測'!D15)=0,"",'綾測'!D15)</f>
        <v/>
      </c>
      <c r="I19" s="38">
        <f>IF(SUM(F19:H19)=0,"",SUM(F19:H19))</f>
        <v/>
      </c>
      <c r="J19" s="36">
        <f>IF(N('井坂事務所'!E15)=0,"",'井坂事務所'!E15)</f>
        <v/>
      </c>
      <c r="K19" s="37">
        <f>IF(N('岡崎事務所'!E15)=0,"",'岡崎事務所'!E15)</f>
        <v/>
      </c>
      <c r="L19" s="37">
        <f>IF(N('綾測'!E15)=0,"",'綾測'!E15)</f>
        <v/>
      </c>
      <c r="M19" s="38">
        <f>IF(SUM(J19:L19)=0,"",SUM(J19:L19))</f>
        <v/>
      </c>
    </row>
    <row r="20">
      <c r="A20" s="35">
        <f>'井坂事務所'!A16</f>
        <v/>
      </c>
      <c r="B20" s="36">
        <f>IF(N('井坂事務所'!F16)=0,"",'井坂事務所'!F16)</f>
        <v/>
      </c>
      <c r="C20" s="37">
        <f>IF(N('岡崎事務所'!F16)=0,"",'岡崎事務所'!F16)</f>
        <v/>
      </c>
      <c r="D20" s="37">
        <f>IF(N('綾測'!F16)=0,"",'綾測'!F16)</f>
        <v/>
      </c>
      <c r="E20" s="38">
        <f>IF(SUM(B20:D20)=0,"",SUM(B20:D20))</f>
        <v/>
      </c>
      <c r="F20" s="36">
        <f>IF(N('井坂事務所'!D16)=0,"",'井坂事務所'!D16)</f>
        <v/>
      </c>
      <c r="G20" s="37">
        <f>IF(N('岡崎事務所'!D16)=0,"",'岡崎事務所'!D16)</f>
        <v/>
      </c>
      <c r="H20" s="37">
        <f>IF(N('綾測'!D16)=0,"",'綾測'!D16)</f>
        <v/>
      </c>
      <c r="I20" s="38">
        <f>IF(SUM(F20:H20)=0,"",SUM(F20:H20))</f>
        <v/>
      </c>
      <c r="J20" s="36">
        <f>IF(N('井坂事務所'!E16)=0,"",'井坂事務所'!E16)</f>
        <v/>
      </c>
      <c r="K20" s="37">
        <f>IF(N('岡崎事務所'!E16)=0,"",'岡崎事務所'!E16)</f>
        <v/>
      </c>
      <c r="L20" s="37">
        <f>IF(N('綾測'!E16)=0,"",'綾測'!E16)</f>
        <v/>
      </c>
      <c r="M20" s="38">
        <f>IF(SUM(J20:L20)=0,"",SUM(J20:L20))</f>
        <v/>
      </c>
    </row>
    <row r="21">
      <c r="A21" s="35">
        <f>'井坂事務所'!A17</f>
        <v/>
      </c>
      <c r="B21" s="36">
        <f>IF(N('井坂事務所'!F17)=0,"",'井坂事務所'!F17)</f>
        <v/>
      </c>
      <c r="C21" s="37">
        <f>IF(N('岡崎事務所'!F17)=0,"",'岡崎事務所'!F17)</f>
        <v/>
      </c>
      <c r="D21" s="37">
        <f>IF(N('綾測'!F17)=0,"",'綾測'!F17)</f>
        <v/>
      </c>
      <c r="E21" s="38">
        <f>IF(SUM(B21:D21)=0,"",SUM(B21:D21))</f>
        <v/>
      </c>
      <c r="F21" s="36">
        <f>IF(N('井坂事務所'!D17)=0,"",'井坂事務所'!D17)</f>
        <v/>
      </c>
      <c r="G21" s="37">
        <f>IF(N('岡崎事務所'!D17)=0,"",'岡崎事務所'!D17)</f>
        <v/>
      </c>
      <c r="H21" s="37">
        <f>IF(N('綾測'!D17)=0,"",'綾測'!D17)</f>
        <v/>
      </c>
      <c r="I21" s="38">
        <f>IF(SUM(F21:H21)=0,"",SUM(F21:H21))</f>
        <v/>
      </c>
      <c r="J21" s="36">
        <f>IF(N('井坂事務所'!E17)=0,"",'井坂事務所'!E17)</f>
        <v/>
      </c>
      <c r="K21" s="37">
        <f>IF(N('岡崎事務所'!E17)=0,"",'岡崎事務所'!E17)</f>
        <v/>
      </c>
      <c r="L21" s="37">
        <f>IF(N('綾測'!E17)=0,"",'綾測'!E17)</f>
        <v/>
      </c>
      <c r="M21" s="38">
        <f>IF(SUM(J21:L21)=0,"",SUM(J21:L21))</f>
        <v/>
      </c>
    </row>
    <row r="22">
      <c r="A22" s="35">
        <f>'井坂事務所'!A18</f>
        <v/>
      </c>
      <c r="B22" s="36">
        <f>IF(N('井坂事務所'!F18)=0,"",'井坂事務所'!F18)</f>
        <v/>
      </c>
      <c r="C22" s="37">
        <f>IF(N('岡崎事務所'!F18)=0,"",'岡崎事務所'!F18)</f>
        <v/>
      </c>
      <c r="D22" s="37">
        <f>IF(N('綾測'!F18)=0,"",'綾測'!F18)</f>
        <v/>
      </c>
      <c r="E22" s="38">
        <f>IF(SUM(B22:D22)=0,"",SUM(B22:D22))</f>
        <v/>
      </c>
      <c r="F22" s="36">
        <f>IF(N('井坂事務所'!D18)=0,"",'井坂事務所'!D18)</f>
        <v/>
      </c>
      <c r="G22" s="37">
        <f>IF(N('岡崎事務所'!D18)=0,"",'岡崎事務所'!D18)</f>
        <v/>
      </c>
      <c r="H22" s="37">
        <f>IF(N('綾測'!D18)=0,"",'綾測'!D18)</f>
        <v/>
      </c>
      <c r="I22" s="38">
        <f>IF(SUM(F22:H22)=0,"",SUM(F22:H22))</f>
        <v/>
      </c>
      <c r="J22" s="36">
        <f>IF(N('井坂事務所'!E18)=0,"",'井坂事務所'!E18)</f>
        <v/>
      </c>
      <c r="K22" s="37">
        <f>IF(N('岡崎事務所'!E18)=0,"",'岡崎事務所'!E18)</f>
        <v/>
      </c>
      <c r="L22" s="37">
        <f>IF(N('綾測'!E18)=0,"",'綾測'!E18)</f>
        <v/>
      </c>
      <c r="M22" s="38">
        <f>IF(SUM(J22:L22)=0,"",SUM(J22:L22))</f>
        <v/>
      </c>
    </row>
    <row r="23">
      <c r="A23" s="35">
        <f>'井坂事務所'!A19</f>
        <v/>
      </c>
      <c r="B23" s="36">
        <f>IF(N('井坂事務所'!F19)=0,"",'井坂事務所'!F19)</f>
        <v/>
      </c>
      <c r="C23" s="37">
        <f>IF(N('岡崎事務所'!F19)=0,"",'岡崎事務所'!F19)</f>
        <v/>
      </c>
      <c r="D23" s="37">
        <f>IF(N('綾測'!F19)=0,"",'綾測'!F19)</f>
        <v/>
      </c>
      <c r="E23" s="38">
        <f>IF(SUM(B23:D23)=0,"",SUM(B23:D23))</f>
        <v/>
      </c>
      <c r="F23" s="36">
        <f>IF(N('井坂事務所'!D19)=0,"",'井坂事務所'!D19)</f>
        <v/>
      </c>
      <c r="G23" s="37">
        <f>IF(N('岡崎事務所'!D19)=0,"",'岡崎事務所'!D19)</f>
        <v/>
      </c>
      <c r="H23" s="37">
        <f>IF(N('綾測'!D19)=0,"",'綾測'!D19)</f>
        <v/>
      </c>
      <c r="I23" s="38">
        <f>IF(SUM(F23:H23)=0,"",SUM(F23:H23))</f>
        <v/>
      </c>
      <c r="J23" s="36">
        <f>IF(N('井坂事務所'!E19)=0,"",'井坂事務所'!E19)</f>
        <v/>
      </c>
      <c r="K23" s="37">
        <f>IF(N('岡崎事務所'!E19)=0,"",'岡崎事務所'!E19)</f>
        <v/>
      </c>
      <c r="L23" s="37">
        <f>IF(N('綾測'!E19)=0,"",'綾測'!E19)</f>
        <v/>
      </c>
      <c r="M23" s="38">
        <f>IF(SUM(J23:L23)=0,"",SUM(J23:L23))</f>
        <v/>
      </c>
    </row>
    <row r="24">
      <c r="A24" s="35">
        <f>'井坂事務所'!A20</f>
        <v/>
      </c>
      <c r="B24" s="36">
        <f>IF(N('井坂事務所'!F20)=0,"",'井坂事務所'!F20)</f>
        <v/>
      </c>
      <c r="C24" s="37">
        <f>IF(N('岡崎事務所'!F20)=0,"",'岡崎事務所'!F20)</f>
        <v/>
      </c>
      <c r="D24" s="37">
        <f>IF(N('綾測'!F20)=0,"",'綾測'!F20)</f>
        <v/>
      </c>
      <c r="E24" s="38">
        <f>IF(SUM(B24:D24)=0,"",SUM(B24:D24))</f>
        <v/>
      </c>
      <c r="F24" s="36">
        <f>IF(N('井坂事務所'!D20)=0,"",'井坂事務所'!D20)</f>
        <v/>
      </c>
      <c r="G24" s="37">
        <f>IF(N('岡崎事務所'!D20)=0,"",'岡崎事務所'!D20)</f>
        <v/>
      </c>
      <c r="H24" s="37">
        <f>IF(N('綾測'!D20)=0,"",'綾測'!D20)</f>
        <v/>
      </c>
      <c r="I24" s="38">
        <f>IF(SUM(F24:H24)=0,"",SUM(F24:H24))</f>
        <v/>
      </c>
      <c r="J24" s="36">
        <f>IF(N('井坂事務所'!E20)=0,"",'井坂事務所'!E20)</f>
        <v/>
      </c>
      <c r="K24" s="37">
        <f>IF(N('岡崎事務所'!E20)=0,"",'岡崎事務所'!E20)</f>
        <v/>
      </c>
      <c r="L24" s="37">
        <f>IF(N('綾測'!E20)=0,"",'綾測'!E20)</f>
        <v/>
      </c>
      <c r="M24" s="38">
        <f>IF(SUM(J24:L24)=0,"",SUM(J24:L24))</f>
        <v/>
      </c>
    </row>
    <row r="25">
      <c r="A25" s="35">
        <f>'井坂事務所'!A21</f>
        <v/>
      </c>
      <c r="B25" s="36">
        <f>IF(N('井坂事務所'!F21)=0,"",'井坂事務所'!F21)</f>
        <v/>
      </c>
      <c r="C25" s="37">
        <f>IF(N('岡崎事務所'!F21)=0,"",'岡崎事務所'!F21)</f>
        <v/>
      </c>
      <c r="D25" s="37">
        <f>IF(N('綾測'!F21)=0,"",'綾測'!F21)</f>
        <v/>
      </c>
      <c r="E25" s="38">
        <f>IF(SUM(B25:D25)=0,"",SUM(B25:D25))</f>
        <v/>
      </c>
      <c r="F25" s="36">
        <f>IF(N('井坂事務所'!D21)=0,"",'井坂事務所'!D21)</f>
        <v/>
      </c>
      <c r="G25" s="37">
        <f>IF(N('岡崎事務所'!D21)=0,"",'岡崎事務所'!D21)</f>
        <v/>
      </c>
      <c r="H25" s="37">
        <f>IF(N('綾測'!D21)=0,"",'綾測'!D21)</f>
        <v/>
      </c>
      <c r="I25" s="38">
        <f>IF(SUM(F25:H25)=0,"",SUM(F25:H25))</f>
        <v/>
      </c>
      <c r="J25" s="36">
        <f>IF(N('井坂事務所'!E21)=0,"",'井坂事務所'!E21)</f>
        <v/>
      </c>
      <c r="K25" s="37">
        <f>IF(N('岡崎事務所'!E21)=0,"",'岡崎事務所'!E21)</f>
        <v/>
      </c>
      <c r="L25" s="37">
        <f>IF(N('綾測'!E21)=0,"",'綾測'!E21)</f>
        <v/>
      </c>
      <c r="M25" s="38">
        <f>IF(SUM(J25:L25)=0,"",SUM(J25:L25))</f>
        <v/>
      </c>
    </row>
    <row r="26">
      <c r="A26" s="35">
        <f>'井坂事務所'!A22</f>
        <v/>
      </c>
      <c r="B26" s="36">
        <f>IF(N('井坂事務所'!F22)=0,"",'井坂事務所'!F22)</f>
        <v/>
      </c>
      <c r="C26" s="37">
        <f>IF(N('岡崎事務所'!F22)=0,"",'岡崎事務所'!F22)</f>
        <v/>
      </c>
      <c r="D26" s="37">
        <f>IF(N('綾測'!F22)=0,"",'綾測'!F22)</f>
        <v/>
      </c>
      <c r="E26" s="38">
        <f>IF(SUM(B26:D26)=0,"",SUM(B26:D26))</f>
        <v/>
      </c>
      <c r="F26" s="36">
        <f>IF(N('井坂事務所'!D22)=0,"",'井坂事務所'!D22)</f>
        <v/>
      </c>
      <c r="G26" s="37">
        <f>IF(N('岡崎事務所'!D22)=0,"",'岡崎事務所'!D22)</f>
        <v/>
      </c>
      <c r="H26" s="37">
        <f>IF(N('綾測'!D22)=0,"",'綾測'!D22)</f>
        <v/>
      </c>
      <c r="I26" s="38">
        <f>IF(SUM(F26:H26)=0,"",SUM(F26:H26))</f>
        <v/>
      </c>
      <c r="J26" s="36">
        <f>IF(N('井坂事務所'!E22)=0,"",'井坂事務所'!E22)</f>
        <v/>
      </c>
      <c r="K26" s="37">
        <f>IF(N('岡崎事務所'!E22)=0,"",'岡崎事務所'!E22)</f>
        <v/>
      </c>
      <c r="L26" s="37">
        <f>IF(N('綾測'!E22)=0,"",'綾測'!E22)</f>
        <v/>
      </c>
      <c r="M26" s="38">
        <f>IF(SUM(J26:L26)=0,"",SUM(J26:L26))</f>
        <v/>
      </c>
    </row>
    <row r="27">
      <c r="A27" s="35">
        <f>'井坂事務所'!A23</f>
        <v/>
      </c>
      <c r="B27" s="36">
        <f>IF(N('井坂事務所'!F23)=0,"",'井坂事務所'!F23)</f>
        <v/>
      </c>
      <c r="C27" s="37">
        <f>IF(N('岡崎事務所'!F23)=0,"",'岡崎事務所'!F23)</f>
        <v/>
      </c>
      <c r="D27" s="37">
        <f>IF(N('綾測'!F23)=0,"",'綾測'!F23)</f>
        <v/>
      </c>
      <c r="E27" s="38">
        <f>IF(SUM(B27:D27)=0,"",SUM(B27:D27))</f>
        <v/>
      </c>
      <c r="F27" s="36">
        <f>IF(N('井坂事務所'!D23)=0,"",'井坂事務所'!D23)</f>
        <v/>
      </c>
      <c r="G27" s="37">
        <f>IF(N('岡崎事務所'!D23)=0,"",'岡崎事務所'!D23)</f>
        <v/>
      </c>
      <c r="H27" s="37">
        <f>IF(N('綾測'!D23)=0,"",'綾測'!D23)</f>
        <v/>
      </c>
      <c r="I27" s="38">
        <f>IF(SUM(F27:H27)=0,"",SUM(F27:H27))</f>
        <v/>
      </c>
      <c r="J27" s="36">
        <f>IF(N('井坂事務所'!E23)=0,"",'井坂事務所'!E23)</f>
        <v/>
      </c>
      <c r="K27" s="37">
        <f>IF(N('岡崎事務所'!E23)=0,"",'岡崎事務所'!E23)</f>
        <v/>
      </c>
      <c r="L27" s="37">
        <f>IF(N('綾測'!E23)=0,"",'綾測'!E23)</f>
        <v/>
      </c>
      <c r="M27" s="38">
        <f>IF(SUM(J27:L27)=0,"",SUM(J27:L27))</f>
        <v/>
      </c>
    </row>
    <row r="28">
      <c r="A28" s="35">
        <f>'井坂事務所'!A24</f>
        <v/>
      </c>
      <c r="B28" s="36">
        <f>IF(N('井坂事務所'!F24)=0,"",'井坂事務所'!F24)</f>
        <v/>
      </c>
      <c r="C28" s="37">
        <f>IF(N('岡崎事務所'!F24)=0,"",'岡崎事務所'!F24)</f>
        <v/>
      </c>
      <c r="D28" s="37">
        <f>IF(N('綾測'!F24)=0,"",'綾測'!F24)</f>
        <v/>
      </c>
      <c r="E28" s="38">
        <f>IF(SUM(B28:D28)=0,"",SUM(B28:D28))</f>
        <v/>
      </c>
      <c r="F28" s="36">
        <f>IF(N('井坂事務所'!D24)=0,"",'井坂事務所'!D24)</f>
        <v/>
      </c>
      <c r="G28" s="37">
        <f>IF(N('岡崎事務所'!D24)=0,"",'岡崎事務所'!D24)</f>
        <v/>
      </c>
      <c r="H28" s="37">
        <f>IF(N('綾測'!D24)=0,"",'綾測'!D24)</f>
        <v/>
      </c>
      <c r="I28" s="38">
        <f>IF(SUM(F28:H28)=0,"",SUM(F28:H28))</f>
        <v/>
      </c>
      <c r="J28" s="36">
        <f>IF(N('井坂事務所'!E24)=0,"",'井坂事務所'!E24)</f>
        <v/>
      </c>
      <c r="K28" s="37">
        <f>IF(N('岡崎事務所'!E24)=0,"",'岡崎事務所'!E24)</f>
        <v/>
      </c>
      <c r="L28" s="37">
        <f>IF(N('綾測'!E24)=0,"",'綾測'!E24)</f>
        <v/>
      </c>
      <c r="M28" s="38">
        <f>IF(SUM(J28:L28)=0,"",SUM(J28:L28))</f>
        <v/>
      </c>
    </row>
    <row r="29">
      <c r="A29" s="35">
        <f>'井坂事務所'!A25</f>
        <v/>
      </c>
      <c r="B29" s="36">
        <f>IF(N('井坂事務所'!F25)=0,"",'井坂事務所'!F25)</f>
        <v/>
      </c>
      <c r="C29" s="37">
        <f>IF(N('岡崎事務所'!F25)=0,"",'岡崎事務所'!F25)</f>
        <v/>
      </c>
      <c r="D29" s="37">
        <f>IF(N('綾測'!F25)=0,"",'綾測'!F25)</f>
        <v/>
      </c>
      <c r="E29" s="38">
        <f>IF(SUM(B29:D29)=0,"",SUM(B29:D29))</f>
        <v/>
      </c>
      <c r="F29" s="36">
        <f>IF(N('井坂事務所'!D25)=0,"",'井坂事務所'!D25)</f>
        <v/>
      </c>
      <c r="G29" s="37">
        <f>IF(N('岡崎事務所'!D25)=0,"",'岡崎事務所'!D25)</f>
        <v/>
      </c>
      <c r="H29" s="37">
        <f>IF(N('綾測'!D25)=0,"",'綾測'!D25)</f>
        <v/>
      </c>
      <c r="I29" s="38">
        <f>IF(SUM(F29:H29)=0,"",SUM(F29:H29))</f>
        <v/>
      </c>
      <c r="J29" s="36">
        <f>IF(N('井坂事務所'!E25)=0,"",'井坂事務所'!E25)</f>
        <v/>
      </c>
      <c r="K29" s="37">
        <f>IF(N('岡崎事務所'!E25)=0,"",'岡崎事務所'!E25)</f>
        <v/>
      </c>
      <c r="L29" s="37">
        <f>IF(N('綾測'!E25)=0,"",'綾測'!E25)</f>
        <v/>
      </c>
      <c r="M29" s="38">
        <f>IF(SUM(J29:L29)=0,"",SUM(J29:L29))</f>
        <v/>
      </c>
    </row>
    <row r="30">
      <c r="A30" s="39" t="inlineStr">
        <is>
          <t>2027年 計</t>
        </is>
      </c>
      <c r="B30" s="40">
        <f>IF(SUM(B18:B29)=0,"",SUM(B18:B29))</f>
        <v/>
      </c>
      <c r="C30" s="41">
        <f>IF(SUM(C18:C29)=0,"",SUM(C18:C29))</f>
        <v/>
      </c>
      <c r="D30" s="41">
        <f>IF(SUM(D18:D29)=0,"",SUM(D18:D29))</f>
        <v/>
      </c>
      <c r="E30" s="41">
        <f>IF(SUM(E18:E29)=0,"",SUM(E18:E29))</f>
        <v/>
      </c>
      <c r="F30" s="40">
        <f>IF(SUM(F18:F29)=0,"",SUM(F18:F29))</f>
        <v/>
      </c>
      <c r="G30" s="41">
        <f>IF(SUM(G18:G29)=0,"",SUM(G18:G29))</f>
        <v/>
      </c>
      <c r="H30" s="41">
        <f>IF(SUM(H18:H29)=0,"",SUM(H18:H29))</f>
        <v/>
      </c>
      <c r="I30" s="41">
        <f>IF(SUM(I18:I29)=0,"",SUM(I18:I29))</f>
        <v/>
      </c>
      <c r="J30" s="40">
        <f>IF(SUM(J18:J29)=0,"",SUM(J18:J29))</f>
        <v/>
      </c>
      <c r="K30" s="41">
        <f>IF(SUM(K18:K29)=0,"",SUM(K18:K29))</f>
        <v/>
      </c>
      <c r="L30" s="41">
        <f>IF(SUM(L18:L29)=0,"",SUM(L18:L29))</f>
        <v/>
      </c>
      <c r="M30" s="41">
        <f>IF(SUM(M18:M29)=0,"",SUM(M18:M29))</f>
        <v/>
      </c>
    </row>
    <row r="31">
      <c r="A31" s="35">
        <f>'井坂事務所'!A26</f>
        <v/>
      </c>
      <c r="B31" s="36">
        <f>IF(N('井坂事務所'!F26)=0,"",'井坂事務所'!F26)</f>
        <v/>
      </c>
      <c r="C31" s="37">
        <f>IF(N('岡崎事務所'!F26)=0,"",'岡崎事務所'!F26)</f>
        <v/>
      </c>
      <c r="D31" s="37">
        <f>IF(N('綾測'!F26)=0,"",'綾測'!F26)</f>
        <v/>
      </c>
      <c r="E31" s="38">
        <f>IF(SUM(B31:D31)=0,"",SUM(B31:D31))</f>
        <v/>
      </c>
      <c r="F31" s="36">
        <f>IF(N('井坂事務所'!D26)=0,"",'井坂事務所'!D26)</f>
        <v/>
      </c>
      <c r="G31" s="37">
        <f>IF(N('岡崎事務所'!D26)=0,"",'岡崎事務所'!D26)</f>
        <v/>
      </c>
      <c r="H31" s="37">
        <f>IF(N('綾測'!D26)=0,"",'綾測'!D26)</f>
        <v/>
      </c>
      <c r="I31" s="38">
        <f>IF(SUM(F31:H31)=0,"",SUM(F31:H31))</f>
        <v/>
      </c>
      <c r="J31" s="36">
        <f>IF(N('井坂事務所'!E26)=0,"",'井坂事務所'!E26)</f>
        <v/>
      </c>
      <c r="K31" s="37">
        <f>IF(N('岡崎事務所'!E26)=0,"",'岡崎事務所'!E26)</f>
        <v/>
      </c>
      <c r="L31" s="37">
        <f>IF(N('綾測'!E26)=0,"",'綾測'!E26)</f>
        <v/>
      </c>
      <c r="M31" s="38">
        <f>IF(SUM(J31:L31)=0,"",SUM(J31:L31))</f>
        <v/>
      </c>
    </row>
    <row r="32">
      <c r="A32" s="35">
        <f>'井坂事務所'!A27</f>
        <v/>
      </c>
      <c r="B32" s="36">
        <f>IF(N('井坂事務所'!F27)=0,"",'井坂事務所'!F27)</f>
        <v/>
      </c>
      <c r="C32" s="37">
        <f>IF(N('岡崎事務所'!F27)=0,"",'岡崎事務所'!F27)</f>
        <v/>
      </c>
      <c r="D32" s="37">
        <f>IF(N('綾測'!F27)=0,"",'綾測'!F27)</f>
        <v/>
      </c>
      <c r="E32" s="38">
        <f>IF(SUM(B32:D32)=0,"",SUM(B32:D32))</f>
        <v/>
      </c>
      <c r="F32" s="36">
        <f>IF(N('井坂事務所'!D27)=0,"",'井坂事務所'!D27)</f>
        <v/>
      </c>
      <c r="G32" s="37">
        <f>IF(N('岡崎事務所'!D27)=0,"",'岡崎事務所'!D27)</f>
        <v/>
      </c>
      <c r="H32" s="37">
        <f>IF(N('綾測'!D27)=0,"",'綾測'!D27)</f>
        <v/>
      </c>
      <c r="I32" s="38">
        <f>IF(SUM(F32:H32)=0,"",SUM(F32:H32))</f>
        <v/>
      </c>
      <c r="J32" s="36">
        <f>IF(N('井坂事務所'!E27)=0,"",'井坂事務所'!E27)</f>
        <v/>
      </c>
      <c r="K32" s="37">
        <f>IF(N('岡崎事務所'!E27)=0,"",'岡崎事務所'!E27)</f>
        <v/>
      </c>
      <c r="L32" s="37">
        <f>IF(N('綾測'!E27)=0,"",'綾測'!E27)</f>
        <v/>
      </c>
      <c r="M32" s="38">
        <f>IF(SUM(J32:L32)=0,"",SUM(J32:L32))</f>
        <v/>
      </c>
    </row>
    <row r="33">
      <c r="A33" s="35">
        <f>'井坂事務所'!A28</f>
        <v/>
      </c>
      <c r="B33" s="36">
        <f>IF(N('井坂事務所'!F28)=0,"",'井坂事務所'!F28)</f>
        <v/>
      </c>
      <c r="C33" s="37">
        <f>IF(N('岡崎事務所'!F28)=0,"",'岡崎事務所'!F28)</f>
        <v/>
      </c>
      <c r="D33" s="37">
        <f>IF(N('綾測'!F28)=0,"",'綾測'!F28)</f>
        <v/>
      </c>
      <c r="E33" s="38">
        <f>IF(SUM(B33:D33)=0,"",SUM(B33:D33))</f>
        <v/>
      </c>
      <c r="F33" s="36">
        <f>IF(N('井坂事務所'!D28)=0,"",'井坂事務所'!D28)</f>
        <v/>
      </c>
      <c r="G33" s="37">
        <f>IF(N('岡崎事務所'!D28)=0,"",'岡崎事務所'!D28)</f>
        <v/>
      </c>
      <c r="H33" s="37">
        <f>IF(N('綾測'!D28)=0,"",'綾測'!D28)</f>
        <v/>
      </c>
      <c r="I33" s="38">
        <f>IF(SUM(F33:H33)=0,"",SUM(F33:H33))</f>
        <v/>
      </c>
      <c r="J33" s="36">
        <f>IF(N('井坂事務所'!E28)=0,"",'井坂事務所'!E28)</f>
        <v/>
      </c>
      <c r="K33" s="37">
        <f>IF(N('岡崎事務所'!E28)=0,"",'岡崎事務所'!E28)</f>
        <v/>
      </c>
      <c r="L33" s="37">
        <f>IF(N('綾測'!E28)=0,"",'綾測'!E28)</f>
        <v/>
      </c>
      <c r="M33" s="38">
        <f>IF(SUM(J33:L33)=0,"",SUM(J33:L33))</f>
        <v/>
      </c>
    </row>
    <row r="34">
      <c r="A34" s="35">
        <f>'井坂事務所'!A29</f>
        <v/>
      </c>
      <c r="B34" s="36">
        <f>IF(N('井坂事務所'!F29)=0,"",'井坂事務所'!F29)</f>
        <v/>
      </c>
      <c r="C34" s="37">
        <f>IF(N('岡崎事務所'!F29)=0,"",'岡崎事務所'!F29)</f>
        <v/>
      </c>
      <c r="D34" s="37">
        <f>IF(N('綾測'!F29)=0,"",'綾測'!F29)</f>
        <v/>
      </c>
      <c r="E34" s="38">
        <f>IF(SUM(B34:D34)=0,"",SUM(B34:D34))</f>
        <v/>
      </c>
      <c r="F34" s="36">
        <f>IF(N('井坂事務所'!D29)=0,"",'井坂事務所'!D29)</f>
        <v/>
      </c>
      <c r="G34" s="37">
        <f>IF(N('岡崎事務所'!D29)=0,"",'岡崎事務所'!D29)</f>
        <v/>
      </c>
      <c r="H34" s="37">
        <f>IF(N('綾測'!D29)=0,"",'綾測'!D29)</f>
        <v/>
      </c>
      <c r="I34" s="38">
        <f>IF(SUM(F34:H34)=0,"",SUM(F34:H34))</f>
        <v/>
      </c>
      <c r="J34" s="36">
        <f>IF(N('井坂事務所'!E29)=0,"",'井坂事務所'!E29)</f>
        <v/>
      </c>
      <c r="K34" s="37">
        <f>IF(N('岡崎事務所'!E29)=0,"",'岡崎事務所'!E29)</f>
        <v/>
      </c>
      <c r="L34" s="37">
        <f>IF(N('綾測'!E29)=0,"",'綾測'!E29)</f>
        <v/>
      </c>
      <c r="M34" s="38">
        <f>IF(SUM(J34:L34)=0,"",SUM(J34:L34))</f>
        <v/>
      </c>
    </row>
    <row r="35">
      <c r="A35" s="35">
        <f>'井坂事務所'!A30</f>
        <v/>
      </c>
      <c r="B35" s="36">
        <f>IF(N('井坂事務所'!F30)=0,"",'井坂事務所'!F30)</f>
        <v/>
      </c>
      <c r="C35" s="37">
        <f>IF(N('岡崎事務所'!F30)=0,"",'岡崎事務所'!F30)</f>
        <v/>
      </c>
      <c r="D35" s="37">
        <f>IF(N('綾測'!F30)=0,"",'綾測'!F30)</f>
        <v/>
      </c>
      <c r="E35" s="38">
        <f>IF(SUM(B35:D35)=0,"",SUM(B35:D35))</f>
        <v/>
      </c>
      <c r="F35" s="36">
        <f>IF(N('井坂事務所'!D30)=0,"",'井坂事務所'!D30)</f>
        <v/>
      </c>
      <c r="G35" s="37">
        <f>IF(N('岡崎事務所'!D30)=0,"",'岡崎事務所'!D30)</f>
        <v/>
      </c>
      <c r="H35" s="37">
        <f>IF(N('綾測'!D30)=0,"",'綾測'!D30)</f>
        <v/>
      </c>
      <c r="I35" s="38">
        <f>IF(SUM(F35:H35)=0,"",SUM(F35:H35))</f>
        <v/>
      </c>
      <c r="J35" s="36">
        <f>IF(N('井坂事務所'!E30)=0,"",'井坂事務所'!E30)</f>
        <v/>
      </c>
      <c r="K35" s="37">
        <f>IF(N('岡崎事務所'!E30)=0,"",'岡崎事務所'!E30)</f>
        <v/>
      </c>
      <c r="L35" s="37">
        <f>IF(N('綾測'!E30)=0,"",'綾測'!E30)</f>
        <v/>
      </c>
      <c r="M35" s="38">
        <f>IF(SUM(J35:L35)=0,"",SUM(J35:L35))</f>
        <v/>
      </c>
    </row>
    <row r="36">
      <c r="A36" s="35">
        <f>'井坂事務所'!A31</f>
        <v/>
      </c>
      <c r="B36" s="36">
        <f>IF(N('井坂事務所'!F31)=0,"",'井坂事務所'!F31)</f>
        <v/>
      </c>
      <c r="C36" s="37">
        <f>IF(N('岡崎事務所'!F31)=0,"",'岡崎事務所'!F31)</f>
        <v/>
      </c>
      <c r="D36" s="37">
        <f>IF(N('綾測'!F31)=0,"",'綾測'!F31)</f>
        <v/>
      </c>
      <c r="E36" s="38">
        <f>IF(SUM(B36:D36)=0,"",SUM(B36:D36))</f>
        <v/>
      </c>
      <c r="F36" s="36">
        <f>IF(N('井坂事務所'!D31)=0,"",'井坂事務所'!D31)</f>
        <v/>
      </c>
      <c r="G36" s="37">
        <f>IF(N('岡崎事務所'!D31)=0,"",'岡崎事務所'!D31)</f>
        <v/>
      </c>
      <c r="H36" s="37">
        <f>IF(N('綾測'!D31)=0,"",'綾測'!D31)</f>
        <v/>
      </c>
      <c r="I36" s="38">
        <f>IF(SUM(F36:H36)=0,"",SUM(F36:H36))</f>
        <v/>
      </c>
      <c r="J36" s="36">
        <f>IF(N('井坂事務所'!E31)=0,"",'井坂事務所'!E31)</f>
        <v/>
      </c>
      <c r="K36" s="37">
        <f>IF(N('岡崎事務所'!E31)=0,"",'岡崎事務所'!E31)</f>
        <v/>
      </c>
      <c r="L36" s="37">
        <f>IF(N('綾測'!E31)=0,"",'綾測'!E31)</f>
        <v/>
      </c>
      <c r="M36" s="38">
        <f>IF(SUM(J36:L36)=0,"",SUM(J36:L36))</f>
        <v/>
      </c>
    </row>
    <row r="37">
      <c r="A37" s="35">
        <f>'井坂事務所'!A32</f>
        <v/>
      </c>
      <c r="B37" s="36">
        <f>IF(N('井坂事務所'!F32)=0,"",'井坂事務所'!F32)</f>
        <v/>
      </c>
      <c r="C37" s="37">
        <f>IF(N('岡崎事務所'!F32)=0,"",'岡崎事務所'!F32)</f>
        <v/>
      </c>
      <c r="D37" s="37">
        <f>IF(N('綾測'!F32)=0,"",'綾測'!F32)</f>
        <v/>
      </c>
      <c r="E37" s="38">
        <f>IF(SUM(B37:D37)=0,"",SUM(B37:D37))</f>
        <v/>
      </c>
      <c r="F37" s="36">
        <f>IF(N('井坂事務所'!D32)=0,"",'井坂事務所'!D32)</f>
        <v/>
      </c>
      <c r="G37" s="37">
        <f>IF(N('岡崎事務所'!D32)=0,"",'岡崎事務所'!D32)</f>
        <v/>
      </c>
      <c r="H37" s="37">
        <f>IF(N('綾測'!D32)=0,"",'綾測'!D32)</f>
        <v/>
      </c>
      <c r="I37" s="38">
        <f>IF(SUM(F37:H37)=0,"",SUM(F37:H37))</f>
        <v/>
      </c>
      <c r="J37" s="36">
        <f>IF(N('井坂事務所'!E32)=0,"",'井坂事務所'!E32)</f>
        <v/>
      </c>
      <c r="K37" s="37">
        <f>IF(N('岡崎事務所'!E32)=0,"",'岡崎事務所'!E32)</f>
        <v/>
      </c>
      <c r="L37" s="37">
        <f>IF(N('綾測'!E32)=0,"",'綾測'!E32)</f>
        <v/>
      </c>
      <c r="M37" s="38">
        <f>IF(SUM(J37:L37)=0,"",SUM(J37:L37))</f>
        <v/>
      </c>
    </row>
    <row r="38">
      <c r="A38" s="35">
        <f>'井坂事務所'!A33</f>
        <v/>
      </c>
      <c r="B38" s="36">
        <f>IF(N('井坂事務所'!F33)=0,"",'井坂事務所'!F33)</f>
        <v/>
      </c>
      <c r="C38" s="37">
        <f>IF(N('岡崎事務所'!F33)=0,"",'岡崎事務所'!F33)</f>
        <v/>
      </c>
      <c r="D38" s="37">
        <f>IF(N('綾測'!F33)=0,"",'綾測'!F33)</f>
        <v/>
      </c>
      <c r="E38" s="38">
        <f>IF(SUM(B38:D38)=0,"",SUM(B38:D38))</f>
        <v/>
      </c>
      <c r="F38" s="36">
        <f>IF(N('井坂事務所'!D33)=0,"",'井坂事務所'!D33)</f>
        <v/>
      </c>
      <c r="G38" s="37">
        <f>IF(N('岡崎事務所'!D33)=0,"",'岡崎事務所'!D33)</f>
        <v/>
      </c>
      <c r="H38" s="37">
        <f>IF(N('綾測'!D33)=0,"",'綾測'!D33)</f>
        <v/>
      </c>
      <c r="I38" s="38">
        <f>IF(SUM(F38:H38)=0,"",SUM(F38:H38))</f>
        <v/>
      </c>
      <c r="J38" s="36">
        <f>IF(N('井坂事務所'!E33)=0,"",'井坂事務所'!E33)</f>
        <v/>
      </c>
      <c r="K38" s="37">
        <f>IF(N('岡崎事務所'!E33)=0,"",'岡崎事務所'!E33)</f>
        <v/>
      </c>
      <c r="L38" s="37">
        <f>IF(N('綾測'!E33)=0,"",'綾測'!E33)</f>
        <v/>
      </c>
      <c r="M38" s="38">
        <f>IF(SUM(J38:L38)=0,"",SUM(J38:L38))</f>
        <v/>
      </c>
    </row>
    <row r="39">
      <c r="A39" s="35">
        <f>'井坂事務所'!A34</f>
        <v/>
      </c>
      <c r="B39" s="36">
        <f>IF(N('井坂事務所'!F34)=0,"",'井坂事務所'!F34)</f>
        <v/>
      </c>
      <c r="C39" s="37">
        <f>IF(N('岡崎事務所'!F34)=0,"",'岡崎事務所'!F34)</f>
        <v/>
      </c>
      <c r="D39" s="37">
        <f>IF(N('綾測'!F34)=0,"",'綾測'!F34)</f>
        <v/>
      </c>
      <c r="E39" s="38">
        <f>IF(SUM(B39:D39)=0,"",SUM(B39:D39))</f>
        <v/>
      </c>
      <c r="F39" s="36">
        <f>IF(N('井坂事務所'!D34)=0,"",'井坂事務所'!D34)</f>
        <v/>
      </c>
      <c r="G39" s="37">
        <f>IF(N('岡崎事務所'!D34)=0,"",'岡崎事務所'!D34)</f>
        <v/>
      </c>
      <c r="H39" s="37">
        <f>IF(N('綾測'!D34)=0,"",'綾測'!D34)</f>
        <v/>
      </c>
      <c r="I39" s="38">
        <f>IF(SUM(F39:H39)=0,"",SUM(F39:H39))</f>
        <v/>
      </c>
      <c r="J39" s="36">
        <f>IF(N('井坂事務所'!E34)=0,"",'井坂事務所'!E34)</f>
        <v/>
      </c>
      <c r="K39" s="37">
        <f>IF(N('岡崎事務所'!E34)=0,"",'岡崎事務所'!E34)</f>
        <v/>
      </c>
      <c r="L39" s="37">
        <f>IF(N('綾測'!E34)=0,"",'綾測'!E34)</f>
        <v/>
      </c>
      <c r="M39" s="38">
        <f>IF(SUM(J39:L39)=0,"",SUM(J39:L39))</f>
        <v/>
      </c>
    </row>
    <row r="40">
      <c r="A40" s="35">
        <f>'井坂事務所'!A35</f>
        <v/>
      </c>
      <c r="B40" s="36">
        <f>IF(N('井坂事務所'!F35)=0,"",'井坂事務所'!F35)</f>
        <v/>
      </c>
      <c r="C40" s="37">
        <f>IF(N('岡崎事務所'!F35)=0,"",'岡崎事務所'!F35)</f>
        <v/>
      </c>
      <c r="D40" s="37">
        <f>IF(N('綾測'!F35)=0,"",'綾測'!F35)</f>
        <v/>
      </c>
      <c r="E40" s="38">
        <f>IF(SUM(B40:D40)=0,"",SUM(B40:D40))</f>
        <v/>
      </c>
      <c r="F40" s="36">
        <f>IF(N('井坂事務所'!D35)=0,"",'井坂事務所'!D35)</f>
        <v/>
      </c>
      <c r="G40" s="37">
        <f>IF(N('岡崎事務所'!D35)=0,"",'岡崎事務所'!D35)</f>
        <v/>
      </c>
      <c r="H40" s="37">
        <f>IF(N('綾測'!D35)=0,"",'綾測'!D35)</f>
        <v/>
      </c>
      <c r="I40" s="38">
        <f>IF(SUM(F40:H40)=0,"",SUM(F40:H40))</f>
        <v/>
      </c>
      <c r="J40" s="36">
        <f>IF(N('井坂事務所'!E35)=0,"",'井坂事務所'!E35)</f>
        <v/>
      </c>
      <c r="K40" s="37">
        <f>IF(N('岡崎事務所'!E35)=0,"",'岡崎事務所'!E35)</f>
        <v/>
      </c>
      <c r="L40" s="37">
        <f>IF(N('綾測'!E35)=0,"",'綾測'!E35)</f>
        <v/>
      </c>
      <c r="M40" s="38">
        <f>IF(SUM(J40:L40)=0,"",SUM(J40:L40))</f>
        <v/>
      </c>
    </row>
    <row r="41">
      <c r="A41" s="35">
        <f>'井坂事務所'!A36</f>
        <v/>
      </c>
      <c r="B41" s="36">
        <f>IF(N('井坂事務所'!F36)=0,"",'井坂事務所'!F36)</f>
        <v/>
      </c>
      <c r="C41" s="37">
        <f>IF(N('岡崎事務所'!F36)=0,"",'岡崎事務所'!F36)</f>
        <v/>
      </c>
      <c r="D41" s="37">
        <f>IF(N('綾測'!F36)=0,"",'綾測'!F36)</f>
        <v/>
      </c>
      <c r="E41" s="38">
        <f>IF(SUM(B41:D41)=0,"",SUM(B41:D41))</f>
        <v/>
      </c>
      <c r="F41" s="36">
        <f>IF(N('井坂事務所'!D36)=0,"",'井坂事務所'!D36)</f>
        <v/>
      </c>
      <c r="G41" s="37">
        <f>IF(N('岡崎事務所'!D36)=0,"",'岡崎事務所'!D36)</f>
        <v/>
      </c>
      <c r="H41" s="37">
        <f>IF(N('綾測'!D36)=0,"",'綾測'!D36)</f>
        <v/>
      </c>
      <c r="I41" s="38">
        <f>IF(SUM(F41:H41)=0,"",SUM(F41:H41))</f>
        <v/>
      </c>
      <c r="J41" s="36">
        <f>IF(N('井坂事務所'!E36)=0,"",'井坂事務所'!E36)</f>
        <v/>
      </c>
      <c r="K41" s="37">
        <f>IF(N('岡崎事務所'!E36)=0,"",'岡崎事務所'!E36)</f>
        <v/>
      </c>
      <c r="L41" s="37">
        <f>IF(N('綾測'!E36)=0,"",'綾測'!E36)</f>
        <v/>
      </c>
      <c r="M41" s="38">
        <f>IF(SUM(J41:L41)=0,"",SUM(J41:L41))</f>
        <v/>
      </c>
    </row>
    <row r="42">
      <c r="A42" s="35">
        <f>'井坂事務所'!A37</f>
        <v/>
      </c>
      <c r="B42" s="36">
        <f>IF(N('井坂事務所'!F37)=0,"",'井坂事務所'!F37)</f>
        <v/>
      </c>
      <c r="C42" s="37">
        <f>IF(N('岡崎事務所'!F37)=0,"",'岡崎事務所'!F37)</f>
        <v/>
      </c>
      <c r="D42" s="37">
        <f>IF(N('綾測'!F37)=0,"",'綾測'!F37)</f>
        <v/>
      </c>
      <c r="E42" s="38">
        <f>IF(SUM(B42:D42)=0,"",SUM(B42:D42))</f>
        <v/>
      </c>
      <c r="F42" s="36">
        <f>IF(N('井坂事務所'!D37)=0,"",'井坂事務所'!D37)</f>
        <v/>
      </c>
      <c r="G42" s="37">
        <f>IF(N('岡崎事務所'!D37)=0,"",'岡崎事務所'!D37)</f>
        <v/>
      </c>
      <c r="H42" s="37">
        <f>IF(N('綾測'!D37)=0,"",'綾測'!D37)</f>
        <v/>
      </c>
      <c r="I42" s="38">
        <f>IF(SUM(F42:H42)=0,"",SUM(F42:H42))</f>
        <v/>
      </c>
      <c r="J42" s="36">
        <f>IF(N('井坂事務所'!E37)=0,"",'井坂事務所'!E37)</f>
        <v/>
      </c>
      <c r="K42" s="37">
        <f>IF(N('岡崎事務所'!E37)=0,"",'岡崎事務所'!E37)</f>
        <v/>
      </c>
      <c r="L42" s="37">
        <f>IF(N('綾測'!E37)=0,"",'綾測'!E37)</f>
        <v/>
      </c>
      <c r="M42" s="38">
        <f>IF(SUM(J42:L42)=0,"",SUM(J42:L42))</f>
        <v/>
      </c>
    </row>
    <row r="43">
      <c r="A43" s="39" t="inlineStr">
        <is>
          <t>2028年 計</t>
        </is>
      </c>
      <c r="B43" s="40">
        <f>IF(SUM(B31:B42)=0,"",SUM(B31:B42))</f>
        <v/>
      </c>
      <c r="C43" s="41">
        <f>IF(SUM(C31:C42)=0,"",SUM(C31:C42))</f>
        <v/>
      </c>
      <c r="D43" s="41">
        <f>IF(SUM(D31:D42)=0,"",SUM(D31:D42))</f>
        <v/>
      </c>
      <c r="E43" s="41">
        <f>IF(SUM(E31:E42)=0,"",SUM(E31:E42))</f>
        <v/>
      </c>
      <c r="F43" s="40">
        <f>IF(SUM(F31:F42)=0,"",SUM(F31:F42))</f>
        <v/>
      </c>
      <c r="G43" s="41">
        <f>IF(SUM(G31:G42)=0,"",SUM(G31:G42))</f>
        <v/>
      </c>
      <c r="H43" s="41">
        <f>IF(SUM(H31:H42)=0,"",SUM(H31:H42))</f>
        <v/>
      </c>
      <c r="I43" s="41">
        <f>IF(SUM(I31:I42)=0,"",SUM(I31:I42))</f>
        <v/>
      </c>
      <c r="J43" s="40">
        <f>IF(SUM(J31:J42)=0,"",SUM(J31:J42))</f>
        <v/>
      </c>
      <c r="K43" s="41">
        <f>IF(SUM(K31:K42)=0,"",SUM(K31:K42))</f>
        <v/>
      </c>
      <c r="L43" s="41">
        <f>IF(SUM(L31:L42)=0,"",SUM(L31:L42))</f>
        <v/>
      </c>
      <c r="M43" s="41">
        <f>IF(SUM(M31:M42)=0,"",SUM(M31:M42))</f>
        <v/>
      </c>
    </row>
    <row r="44">
      <c r="A44" s="42" t="inlineStr">
        <is>
          <t>総合計</t>
        </is>
      </c>
      <c r="B44" s="43">
        <f>SUM(B17,B30,B43)</f>
        <v/>
      </c>
      <c r="C44" s="44">
        <f>SUM(C17,C30,C43)</f>
        <v/>
      </c>
      <c r="D44" s="44">
        <f>SUM(D17,D30,D43)</f>
        <v/>
      </c>
      <c r="E44" s="44">
        <f>SUM(E17,E30,E43)</f>
        <v/>
      </c>
      <c r="F44" s="43">
        <f>SUM(F17,F30,F43)</f>
        <v/>
      </c>
      <c r="G44" s="44">
        <f>SUM(G17,G30,G43)</f>
        <v/>
      </c>
      <c r="H44" s="44">
        <f>SUM(H17,H30,H43)</f>
        <v/>
      </c>
      <c r="I44" s="44">
        <f>SUM(I17,I30,I43)</f>
        <v/>
      </c>
      <c r="J44" s="43">
        <f>SUM(J17,J30,J43)</f>
        <v/>
      </c>
      <c r="K44" s="44">
        <f>SUM(K17,K30,K43)</f>
        <v/>
      </c>
      <c r="L44" s="44">
        <f>SUM(L17,L30,L43)</f>
        <v/>
      </c>
      <c r="M44" s="44">
        <f>SUM(M17,M30,M43)</f>
        <v/>
      </c>
    </row>
    <row r="46">
      <c r="A46" s="29" t="inlineStr">
        <is>
          <t>※ 振込額＝請求額（税込み）－源泉徴収額。各事務所シートのF列を参照しています。</t>
        </is>
      </c>
    </row>
    <row r="47">
      <c r="A47" s="29" t="inlineStr">
        <is>
          <t>※ 空欄はその月の金額が0（未計上）であることを表します。</t>
        </is>
      </c>
    </row>
    <row r="48">
      <c r="A48" s="29" t="inlineStr">
        <is>
          <t>※ 事務所を増やすときは、同じ列構成のシートを追加してこのシートに列を足してください。</t>
        </is>
      </c>
    </row>
  </sheetData>
  <mergeCells count="4">
    <mergeCell ref="J3:M3"/>
    <mergeCell ref="F3:I3"/>
    <mergeCell ref="A3:A4"/>
    <mergeCell ref="B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tabSelected="1" workbookViewId="0">
      <selection activeCell="B2" sqref="B2:B9"/>
    </sheetView>
  </sheetViews>
  <sheetFormatPr baseColWidth="8" defaultRowHeight="18"/>
  <cols>
    <col width="11.3984375" bestFit="1" customWidth="1" style="27" min="1" max="1"/>
    <col width="16.296875" bestFit="1" customWidth="1" style="3" min="2" max="2"/>
    <col width="11.3984375" customWidth="1" style="3" min="3" max="3"/>
    <col width="17.19921875" bestFit="1" customWidth="1" style="3" min="4" max="4"/>
    <col width="11" bestFit="1" customWidth="1" style="3" min="5" max="5"/>
    <col width="13.19921875" customWidth="1" style="27" min="6" max="6"/>
    <col width="17.5" bestFit="1" customWidth="1" style="3" min="7" max="7"/>
  </cols>
  <sheetData>
    <row r="1">
      <c r="A1" s="5" t="inlineStr">
        <is>
          <t>支払日</t>
        </is>
      </c>
      <c r="B1" s="6" t="inlineStr">
        <is>
          <t>請求額（税抜き）</t>
        </is>
      </c>
      <c r="C1" s="6" t="inlineStr">
        <is>
          <t>消費税額</t>
        </is>
      </c>
      <c r="D1" s="6" t="inlineStr">
        <is>
          <t>請求額（税込み）</t>
        </is>
      </c>
      <c r="E1" s="6" t="inlineStr">
        <is>
          <t>源泉徴収額</t>
        </is>
      </c>
      <c r="F1" s="5" t="inlineStr">
        <is>
          <t>振込額</t>
        </is>
      </c>
      <c r="G1" s="6" t="inlineStr">
        <is>
          <t>銀行通帳の振込額</t>
        </is>
      </c>
    </row>
    <row r="2">
      <c r="A2" s="20" t="n">
        <v>46053</v>
      </c>
      <c r="B2" s="24" t="n">
        <v>1080400</v>
      </c>
      <c r="C2" s="9">
        <f>B2*0.1</f>
        <v/>
      </c>
      <c r="D2" s="10">
        <f>B2+C2</f>
        <v/>
      </c>
      <c r="E2" s="10">
        <f>IF(D2&lt;=1000000,ROUNDDOWN(D2*0.1021,0),ROUNDDOWN(1000000*0.1021+(D2-1000000)*0.2042,0))</f>
        <v/>
      </c>
      <c r="F2" s="11">
        <f>D2-E2</f>
        <v/>
      </c>
      <c r="G2" s="3" t="n">
        <v>1047861</v>
      </c>
    </row>
    <row r="3">
      <c r="A3" s="8" t="n">
        <v>46081</v>
      </c>
      <c r="B3" s="24" t="n">
        <v>1199709</v>
      </c>
      <c r="C3" s="9">
        <f>B3*0.1</f>
        <v/>
      </c>
      <c r="D3" s="10">
        <f>B3+C3</f>
        <v/>
      </c>
      <c r="E3" s="10">
        <f>IF(D3&lt;=1000000,ROUNDDOWN(D3*0.1021,0),ROUNDDOWN(1000000*0.1021+(D3-1000000)*0.2042,0))</f>
        <v/>
      </c>
      <c r="F3" s="11">
        <f>D3-E3</f>
        <v/>
      </c>
      <c r="G3" s="3" t="n">
        <v>1152302</v>
      </c>
    </row>
    <row r="4">
      <c r="A4" s="20" t="n">
        <v>46112</v>
      </c>
      <c r="B4" s="24" t="n">
        <v>2022800</v>
      </c>
      <c r="C4" s="9">
        <f>B4*0.1</f>
        <v/>
      </c>
      <c r="D4" s="10">
        <f>B4+C4</f>
        <v/>
      </c>
      <c r="E4" s="10">
        <f>IF(D4&lt;=1000000,ROUNDDOWN(D4*0.1021,0),ROUNDDOWN(1000000*0.1021+(D4-1000000)*0.2042,0))</f>
        <v/>
      </c>
      <c r="F4" s="11">
        <f>D4-E4</f>
        <v/>
      </c>
      <c r="G4" s="3" t="n">
        <v>1872819</v>
      </c>
    </row>
    <row r="5">
      <c r="A5" s="8" t="n">
        <v>46142</v>
      </c>
      <c r="B5" s="24" t="n">
        <v>2015200</v>
      </c>
      <c r="C5" s="9">
        <f>B5*0.1</f>
        <v/>
      </c>
      <c r="D5" s="10">
        <f>B5+C5</f>
        <v/>
      </c>
      <c r="E5" s="10">
        <f>IF(D5&lt;=1000000,ROUNDDOWN(D5*0.1021,0),ROUNDDOWN(1000000*0.1021+(D5-1000000)*0.2042,0))</f>
        <v/>
      </c>
      <c r="F5" s="11">
        <f>D5-E5</f>
        <v/>
      </c>
      <c r="G5" s="3" t="n">
        <v>1866166</v>
      </c>
    </row>
    <row r="6">
      <c r="A6" s="20" t="n">
        <v>46173</v>
      </c>
      <c r="B6" s="24" t="n">
        <v>2087000</v>
      </c>
      <c r="C6" s="9">
        <f>B6*0.1</f>
        <v/>
      </c>
      <c r="D6" s="10">
        <f>B6+C6</f>
        <v/>
      </c>
      <c r="E6" s="10">
        <f>IF(D6&lt;=1000000,ROUNDDOWN(D6*0.1021,0),ROUNDDOWN(1000000*0.1021+(D6-1000000)*0.2042,0))</f>
        <v/>
      </c>
      <c r="F6" s="11">
        <f>D6-E6</f>
        <v/>
      </c>
      <c r="G6" s="3" t="n">
        <v>1929019</v>
      </c>
    </row>
    <row r="7">
      <c r="A7" s="8" t="n">
        <v>46203</v>
      </c>
      <c r="B7" s="25" t="n">
        <v>2087200</v>
      </c>
      <c r="C7" s="9">
        <f>B7*0.1</f>
        <v/>
      </c>
      <c r="D7" s="10">
        <f>B7+C7</f>
        <v/>
      </c>
      <c r="E7" s="10">
        <f>IF(D7&lt;=1000000,ROUNDDOWN(D7*0.1021,0),ROUNDDOWN(1000000*0.1021+(D7-1000000)*0.2042,0))</f>
        <v/>
      </c>
      <c r="F7" s="11">
        <f>D7-E7</f>
        <v/>
      </c>
      <c r="G7" s="3" t="n">
        <v>1929194</v>
      </c>
    </row>
    <row r="8">
      <c r="A8" s="20" t="n">
        <v>46234</v>
      </c>
      <c r="B8" s="24" t="n">
        <v>2233600</v>
      </c>
      <c r="C8" s="9">
        <f>B8*0.1</f>
        <v/>
      </c>
      <c r="D8" s="10">
        <f>B8+C8</f>
        <v/>
      </c>
      <c r="E8" s="10">
        <f>IF(D8&lt;=1000000,ROUNDDOWN(D8*0.1021,0),ROUNDDOWN(1000000*0.1021+(D8-1000000)*0.2042,0))</f>
        <v/>
      </c>
      <c r="F8" s="11">
        <f>D8-E8</f>
        <v/>
      </c>
      <c r="G8" s="3" t="n">
        <v>2057349</v>
      </c>
    </row>
    <row r="9">
      <c r="A9" s="8" t="n">
        <v>46265</v>
      </c>
      <c r="B9" s="26" t="n">
        <v>374400</v>
      </c>
      <c r="C9" s="9">
        <f>B9*0.1</f>
        <v/>
      </c>
      <c r="D9" s="10">
        <f>B9+C9</f>
        <v/>
      </c>
      <c r="E9" s="10">
        <f>IF(D9&lt;=1000000,ROUNDDOWN(D9*0.1021,0),ROUNDDOWN(1000000*0.1021+(D9-1000000)*0.2042,0))</f>
        <v/>
      </c>
      <c r="F9" s="11">
        <f>D9-E9</f>
        <v/>
      </c>
    </row>
    <row r="10">
      <c r="A10" s="2" t="n">
        <v>46295</v>
      </c>
      <c r="B10" s="7" t="n"/>
      <c r="C10" s="9">
        <f>B10*0.1</f>
        <v/>
      </c>
      <c r="D10" s="3">
        <f>B10+C10</f>
        <v/>
      </c>
      <c r="E10" s="3">
        <f>IF(D10&lt;=1000000,ROUNDDOWN(D10*0.1021,0),ROUNDDOWN(1000000*0.1021+(D10-1000000)*0.2042,0))</f>
        <v/>
      </c>
      <c r="F10" s="4">
        <f>D10-E10</f>
        <v/>
      </c>
    </row>
    <row r="11">
      <c r="A11" s="1" t="n">
        <v>46326</v>
      </c>
      <c r="C11" s="9">
        <f>B11*0.1</f>
        <v/>
      </c>
      <c r="D11" s="3">
        <f>B11+C11</f>
        <v/>
      </c>
      <c r="E11" s="3">
        <f>IF(D11&lt;=1000000,ROUNDDOWN(D11*0.1021,0),ROUNDDOWN(1000000*0.1021+(D11-1000000)*0.2042,0))</f>
        <v/>
      </c>
      <c r="F11" s="4">
        <f>D11-E11</f>
        <v/>
      </c>
    </row>
    <row r="12">
      <c r="A12" s="2" t="n">
        <v>46356</v>
      </c>
      <c r="B12" s="7" t="n"/>
      <c r="C12" s="9">
        <f>B12*0.1</f>
        <v/>
      </c>
      <c r="D12" s="3">
        <f>B12+C12</f>
        <v/>
      </c>
      <c r="E12" s="3">
        <f>IF(D12&lt;=1000000,ROUNDDOWN(D12*0.1021,0),ROUNDDOWN(1000000*0.1021+(D12-1000000)*0.2042,0))</f>
        <v/>
      </c>
      <c r="F12" s="4">
        <f>D12-E12</f>
        <v/>
      </c>
    </row>
    <row r="13">
      <c r="A13" s="2" t="n">
        <v>46387</v>
      </c>
      <c r="B13" s="7" t="n"/>
      <c r="C13" s="9">
        <f>B13*0.1</f>
        <v/>
      </c>
      <c r="D13" s="3">
        <f>B13+C13</f>
        <v/>
      </c>
      <c r="E13" s="3">
        <f>IF(D13&lt;=1000000,ROUNDDOWN(D13*0.1021,0),ROUNDDOWN(1000000*0.1021+(D13-1000000)*0.2042,0))</f>
        <v/>
      </c>
      <c r="F13" s="4">
        <f>D13-E13</f>
        <v/>
      </c>
    </row>
    <row r="14">
      <c r="A14" s="1" t="n">
        <v>46418</v>
      </c>
      <c r="C14" s="9">
        <f>B14*0.1</f>
        <v/>
      </c>
      <c r="D14" s="3">
        <f>B14+C14</f>
        <v/>
      </c>
      <c r="E14" s="3">
        <f>IF(D14&lt;=1000000,ROUNDDOWN(D14*0.1021,0),ROUNDDOWN(1000000*0.1021+(D14-1000000)*0.2042,0))</f>
        <v/>
      </c>
      <c r="F14" s="4">
        <f>D14-E14</f>
        <v/>
      </c>
    </row>
    <row r="15">
      <c r="A15" s="2" t="n">
        <v>46446</v>
      </c>
      <c r="B15" s="7" t="n"/>
      <c r="C15" s="9">
        <f>B15*0.1</f>
        <v/>
      </c>
      <c r="D15" s="3">
        <f>B15+C15</f>
        <v/>
      </c>
      <c r="E15" s="3">
        <f>IF(D15&lt;=1000000,ROUNDDOWN(D15*0.1021,0),ROUNDDOWN(1000000*0.1021+(D15-1000000)*0.2042,0))</f>
        <v/>
      </c>
      <c r="F15" s="4">
        <f>D15-E15</f>
        <v/>
      </c>
    </row>
    <row r="16">
      <c r="A16" s="2" t="n">
        <v>46477</v>
      </c>
      <c r="B16" s="7" t="n"/>
      <c r="C16" s="9">
        <f>B16*0.1</f>
        <v/>
      </c>
      <c r="D16" s="3">
        <f>B16+C16</f>
        <v/>
      </c>
      <c r="E16" s="3">
        <f>IF(D16&lt;=1000000,ROUNDDOWN(D16*0.1021,0),ROUNDDOWN(1000000*0.1021+(D16-1000000)*0.2042,0))</f>
        <v/>
      </c>
      <c r="F16" s="4">
        <f>D16-E16</f>
        <v/>
      </c>
    </row>
    <row r="17">
      <c r="A17" s="1" t="n">
        <v>46507</v>
      </c>
      <c r="C17" s="9">
        <f>B17*0.1</f>
        <v/>
      </c>
      <c r="D17" s="3">
        <f>B17+C17</f>
        <v/>
      </c>
      <c r="E17" s="3">
        <f>IF(D17&lt;=1000000,ROUNDDOWN(D17*0.1021,0),ROUNDDOWN(1000000*0.1021+(D17-1000000)*0.2042,0))</f>
        <v/>
      </c>
      <c r="F17" s="4">
        <f>D17-E17</f>
        <v/>
      </c>
    </row>
    <row r="18">
      <c r="A18" s="2" t="n">
        <v>46538</v>
      </c>
      <c r="B18" s="7" t="n"/>
      <c r="C18" s="9">
        <f>B18*0.1</f>
        <v/>
      </c>
      <c r="D18" s="3">
        <f>B18+C18</f>
        <v/>
      </c>
      <c r="E18" s="3">
        <f>IF(D18&lt;=1000000,ROUNDDOWN(D18*0.1021,0),ROUNDDOWN(1000000*0.1021+(D18-1000000)*0.2042,0))</f>
        <v/>
      </c>
      <c r="F18" s="4">
        <f>D18-E18</f>
        <v/>
      </c>
    </row>
    <row r="19">
      <c r="A19" s="1" t="n">
        <v>46568</v>
      </c>
      <c r="C19" s="9">
        <f>B19*0.1</f>
        <v/>
      </c>
      <c r="D19" s="3">
        <f>B19+C19</f>
        <v/>
      </c>
      <c r="E19" s="3">
        <f>IF(D19&lt;=1000000,ROUNDDOWN(D19*0.1021,0),ROUNDDOWN(1000000*0.1021+(D19-1000000)*0.2042,0))</f>
        <v/>
      </c>
      <c r="F19" s="4">
        <f>D19-E19</f>
        <v/>
      </c>
    </row>
    <row r="20">
      <c r="A20" s="2" t="n">
        <v>46599</v>
      </c>
      <c r="B20" s="7" t="n"/>
      <c r="C20" s="9">
        <f>B20*0.1</f>
        <v/>
      </c>
      <c r="D20" s="3">
        <f>B20+C20</f>
        <v/>
      </c>
      <c r="E20" s="3">
        <f>IF(D20&lt;=1000000,ROUNDDOWN(D20*0.1021,0),ROUNDDOWN(1000000*0.1021+(D20-1000000)*0.2042,0))</f>
        <v/>
      </c>
      <c r="F20" s="4">
        <f>D20-E20</f>
        <v/>
      </c>
    </row>
    <row r="21">
      <c r="A21" s="1" t="n">
        <v>46630</v>
      </c>
      <c r="C21" s="9">
        <f>B21*0.1</f>
        <v/>
      </c>
      <c r="D21" s="3">
        <f>B21+C21</f>
        <v/>
      </c>
      <c r="E21" s="3">
        <f>IF(D21&lt;=1000000,ROUNDDOWN(D21*0.1021,0),ROUNDDOWN(1000000*0.1021+(D21-1000000)*0.2042,0))</f>
        <v/>
      </c>
      <c r="F21" s="4">
        <f>D21-E21</f>
        <v/>
      </c>
    </row>
    <row r="22">
      <c r="A22" s="2" t="n">
        <v>46660</v>
      </c>
      <c r="B22" s="7" t="n"/>
      <c r="C22" s="9">
        <f>B22*0.1</f>
        <v/>
      </c>
      <c r="D22" s="3">
        <f>B22+C22</f>
        <v/>
      </c>
      <c r="E22" s="3">
        <f>IF(D22&lt;=1000000,ROUNDDOWN(D22*0.1021,0),ROUNDDOWN(1000000*0.1021+(D22-1000000)*0.2042,0))</f>
        <v/>
      </c>
      <c r="F22" s="4">
        <f>D22-E22</f>
        <v/>
      </c>
    </row>
    <row r="23">
      <c r="A23" s="1" t="n">
        <v>46691</v>
      </c>
      <c r="C23" s="9">
        <f>B23*0.1</f>
        <v/>
      </c>
      <c r="D23" s="3">
        <f>B23+C23</f>
        <v/>
      </c>
      <c r="E23" s="3">
        <f>IF(D23&lt;=1000000,ROUNDDOWN(D23*0.1021,0),ROUNDDOWN(1000000*0.1021+(D23-1000000)*0.2042,0))</f>
        <v/>
      </c>
      <c r="F23" s="4">
        <f>D23-E23</f>
        <v/>
      </c>
    </row>
    <row r="24">
      <c r="A24" s="2" t="n">
        <v>46721</v>
      </c>
      <c r="B24" s="7" t="n"/>
      <c r="C24" s="9">
        <f>B24*0.1</f>
        <v/>
      </c>
      <c r="D24" s="3">
        <f>B24+C24</f>
        <v/>
      </c>
      <c r="E24" s="3">
        <f>IF(D24&lt;=1000000,ROUNDDOWN(D24*0.1021,0),ROUNDDOWN(1000000*0.1021+(D24-1000000)*0.2042,0))</f>
        <v/>
      </c>
      <c r="F24" s="4">
        <f>D24-E24</f>
        <v/>
      </c>
    </row>
    <row r="25">
      <c r="A25" s="1" t="n">
        <v>46752</v>
      </c>
      <c r="C25" s="9">
        <f>B25*0.1</f>
        <v/>
      </c>
      <c r="D25" s="3">
        <f>B25+C25</f>
        <v/>
      </c>
      <c r="E25" s="3">
        <f>IF(D25&lt;=1000000,ROUNDDOWN(D25*0.1021,0),ROUNDDOWN(1000000*0.1021+(D25-1000000)*0.2042,0))</f>
        <v/>
      </c>
      <c r="F25" s="4">
        <f>D25-E25</f>
        <v/>
      </c>
    </row>
    <row r="26">
      <c r="A26" s="2" t="n">
        <v>46783</v>
      </c>
      <c r="B26" s="7" t="n"/>
      <c r="C26" s="9">
        <f>B26*0.1</f>
        <v/>
      </c>
      <c r="D26" s="3">
        <f>B26+C26</f>
        <v/>
      </c>
      <c r="E26" s="3">
        <f>IF(D26&lt;=1000000,ROUNDDOWN(D26*0.1021,0),ROUNDDOWN(1000000*0.1021+(D26-1000000)*0.2042,0))</f>
        <v/>
      </c>
      <c r="F26" s="4">
        <f>D26-E26</f>
        <v/>
      </c>
    </row>
    <row r="27">
      <c r="A27" s="1" t="n">
        <v>46812</v>
      </c>
      <c r="C27" s="9">
        <f>B27*0.1</f>
        <v/>
      </c>
      <c r="D27" s="3">
        <f>B27+C27</f>
        <v/>
      </c>
      <c r="E27" s="3">
        <f>IF(D27&lt;=1000000,ROUNDDOWN(D27*0.1021,0),ROUNDDOWN(1000000*0.1021+(D27-1000000)*0.2042,0))</f>
        <v/>
      </c>
      <c r="F27" s="4">
        <f>D27-E27</f>
        <v/>
      </c>
    </row>
    <row r="28">
      <c r="A28" s="2" t="n">
        <v>46843</v>
      </c>
      <c r="B28" s="7" t="n"/>
      <c r="C28" s="9">
        <f>B28*0.1</f>
        <v/>
      </c>
      <c r="D28" s="3">
        <f>B28+C28</f>
        <v/>
      </c>
      <c r="E28" s="3">
        <f>IF(D28&lt;=1000000,ROUNDDOWN(D28*0.1021,0),ROUNDDOWN(1000000*0.1021+(D28-1000000)*0.2042,0))</f>
        <v/>
      </c>
      <c r="F28" s="4">
        <f>D28-E28</f>
        <v/>
      </c>
    </row>
    <row r="29">
      <c r="A29" s="1" t="n">
        <v>46873</v>
      </c>
      <c r="C29" s="9">
        <f>B29*0.1</f>
        <v/>
      </c>
      <c r="D29" s="3">
        <f>B29+C29</f>
        <v/>
      </c>
      <c r="E29" s="3">
        <f>IF(D29&lt;=1000000,ROUNDDOWN(D29*0.1021,0),ROUNDDOWN(1000000*0.1021+(D29-1000000)*0.2042,0))</f>
        <v/>
      </c>
      <c r="F29" s="4">
        <f>D29-E29</f>
        <v/>
      </c>
    </row>
    <row r="30">
      <c r="A30" s="2" t="n">
        <v>46904</v>
      </c>
      <c r="B30" s="7" t="n"/>
      <c r="C30" s="9">
        <f>B30*0.1</f>
        <v/>
      </c>
      <c r="D30" s="3">
        <f>B30+C30</f>
        <v/>
      </c>
      <c r="E30" s="3">
        <f>IF(D30&lt;=1000000,ROUNDDOWN(D30*0.1021,0),ROUNDDOWN(1000000*0.1021+(D30-1000000)*0.2042,0))</f>
        <v/>
      </c>
      <c r="F30" s="4">
        <f>D30-E30</f>
        <v/>
      </c>
    </row>
    <row r="31">
      <c r="A31" s="1" t="n">
        <v>46934</v>
      </c>
      <c r="C31" s="9">
        <f>B31*0.1</f>
        <v/>
      </c>
      <c r="D31" s="3">
        <f>B31+C31</f>
        <v/>
      </c>
      <c r="E31" s="3">
        <f>IF(D31&lt;=1000000,ROUNDDOWN(D31*0.1021,0),ROUNDDOWN(1000000*0.1021+(D31-1000000)*0.2042,0))</f>
        <v/>
      </c>
      <c r="F31" s="4">
        <f>D31-E31</f>
        <v/>
      </c>
    </row>
    <row r="32">
      <c r="A32" s="2" t="n">
        <v>46965</v>
      </c>
      <c r="B32" s="7" t="n"/>
      <c r="C32" s="9">
        <f>B32*0.1</f>
        <v/>
      </c>
      <c r="D32" s="3">
        <f>B32+C32</f>
        <v/>
      </c>
      <c r="E32" s="3">
        <f>IF(D32&lt;=1000000,ROUNDDOWN(D32*0.1021,0),ROUNDDOWN(1000000*0.1021+(D32-1000000)*0.2042,0))</f>
        <v/>
      </c>
      <c r="F32" s="4">
        <f>D32-E32</f>
        <v/>
      </c>
    </row>
    <row r="33">
      <c r="A33" s="1" t="n">
        <v>46996</v>
      </c>
      <c r="C33" s="9">
        <f>B33*0.1</f>
        <v/>
      </c>
      <c r="D33" s="3">
        <f>B33+C33</f>
        <v/>
      </c>
      <c r="E33" s="3">
        <f>IF(D33&lt;=1000000,ROUNDDOWN(D33*0.1021,0),ROUNDDOWN(1000000*0.1021+(D33-1000000)*0.2042,0))</f>
        <v/>
      </c>
      <c r="F33" s="4">
        <f>D33-E33</f>
        <v/>
      </c>
    </row>
    <row r="34">
      <c r="A34" s="1" t="n">
        <v>47026</v>
      </c>
      <c r="C34" s="9">
        <f>B34*0.1</f>
        <v/>
      </c>
      <c r="D34" s="3">
        <f>B34+C34</f>
        <v/>
      </c>
      <c r="E34" s="3">
        <f>IF(D34&lt;=1000000,ROUNDDOWN(D34*0.1021,0),ROUNDDOWN(1000000*0.1021+(D34-1000000)*0.2042,0))</f>
        <v/>
      </c>
      <c r="F34" s="4">
        <f>D34-E34</f>
        <v/>
      </c>
    </row>
    <row r="35">
      <c r="A35" s="2" t="n">
        <v>47057</v>
      </c>
      <c r="B35" s="7" t="n"/>
      <c r="C35" s="9">
        <f>B35*0.1</f>
        <v/>
      </c>
      <c r="D35" s="3">
        <f>B35+C35</f>
        <v/>
      </c>
      <c r="E35" s="3">
        <f>IF(D35&lt;=1000000,ROUNDDOWN(D35*0.1021,0),ROUNDDOWN(1000000*0.1021+(D35-1000000)*0.2042,0))</f>
        <v/>
      </c>
      <c r="F35" s="4">
        <f>D35-E35</f>
        <v/>
      </c>
    </row>
    <row r="36">
      <c r="A36" s="1" t="n">
        <v>47087</v>
      </c>
      <c r="C36" s="9">
        <f>B36*0.1</f>
        <v/>
      </c>
      <c r="D36" s="3">
        <f>B36+C36</f>
        <v/>
      </c>
      <c r="E36" s="3">
        <f>IF(D36&lt;=1000000,ROUNDDOWN(D36*0.1021,0),ROUNDDOWN(1000000*0.1021+(D36-1000000)*0.2042,0))</f>
        <v/>
      </c>
      <c r="F36" s="4">
        <f>D36-E36</f>
        <v/>
      </c>
    </row>
    <row r="37">
      <c r="A37" s="2" t="n">
        <v>47118</v>
      </c>
      <c r="B37" s="7" t="n"/>
      <c r="C37" s="9">
        <f>B37*0.1</f>
        <v/>
      </c>
      <c r="D37" s="3">
        <f>B37+C37</f>
        <v/>
      </c>
      <c r="E37" s="3">
        <f>IF(D37&lt;=1000000,ROUNDDOWN(D37*0.1021,0),ROUNDDOWN(1000000*0.1021+(D37-1000000)*0.2042,0))</f>
        <v/>
      </c>
      <c r="F37" s="4">
        <f>D37-E37</f>
        <v/>
      </c>
    </row>
    <row r="38">
      <c r="A38" s="1" t="n"/>
      <c r="C38" s="9" t="n"/>
      <c r="F38" s="4" t="n"/>
    </row>
    <row r="39">
      <c r="A39" s="2" t="n"/>
      <c r="B39" s="7" t="n"/>
      <c r="C39" s="9" t="n"/>
      <c r="F39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zoomScaleNormal="100" workbookViewId="0">
      <selection activeCell="H20" sqref="H20"/>
    </sheetView>
  </sheetViews>
  <sheetFormatPr baseColWidth="8" defaultRowHeight="18"/>
  <cols>
    <col width="11.3984375" bestFit="1" customWidth="1" style="27" min="1" max="1"/>
    <col width="16.296875" bestFit="1" customWidth="1" style="45" min="2" max="2"/>
    <col width="11.3984375" customWidth="1" style="45" min="3" max="3"/>
    <col width="17.19921875" bestFit="1" customWidth="1" style="46" min="4" max="4"/>
    <col width="11" bestFit="1" customWidth="1" style="46" min="5" max="5"/>
    <col width="13.19921875" customWidth="1" style="45" min="6" max="6"/>
    <col width="9.8984375" customWidth="1" style="3" min="7" max="7"/>
  </cols>
  <sheetData>
    <row r="1">
      <c r="A1" s="5" t="inlineStr">
        <is>
          <t>支払日</t>
        </is>
      </c>
      <c r="B1" s="47" t="inlineStr">
        <is>
          <t>請求額（税抜き）</t>
        </is>
      </c>
      <c r="C1" s="48" t="inlineStr">
        <is>
          <t>消費税額</t>
        </is>
      </c>
      <c r="D1" s="47" t="inlineStr">
        <is>
          <t>請求額（税込み）</t>
        </is>
      </c>
      <c r="E1" s="47" t="inlineStr">
        <is>
          <t>源泉徴収額</t>
        </is>
      </c>
      <c r="F1" s="48" t="inlineStr">
        <is>
          <t>振込額</t>
        </is>
      </c>
      <c r="G1" s="6" t="n"/>
    </row>
    <row r="2">
      <c r="A2" s="1" t="n">
        <v>46053</v>
      </c>
      <c r="B2" s="6" t="n"/>
      <c r="C2" s="9">
        <f>B2*0.1</f>
        <v/>
      </c>
      <c r="D2" s="10">
        <f>B2+C2</f>
        <v/>
      </c>
      <c r="E2" s="10">
        <f>IF(D2&lt;=1000000,ROUNDDOWN(D2*0.1021,0),ROUNDDOWN(1000000*0.1021+(D2-1000000)*0.2042,0))</f>
        <v/>
      </c>
      <c r="F2" s="11">
        <f>D2-E2</f>
        <v/>
      </c>
    </row>
    <row r="3">
      <c r="A3" s="2" t="n">
        <v>46081</v>
      </c>
      <c r="B3" s="6" t="n"/>
      <c r="C3" s="9">
        <f>B3*0.1</f>
        <v/>
      </c>
      <c r="D3" s="10">
        <f>B3+C3</f>
        <v/>
      </c>
      <c r="E3" s="10">
        <f>IF(D3&lt;=1000000,ROUNDDOWN(D3*0.1021,0),ROUNDDOWN(1000000*0.1021+(D3-1000000)*0.2042,0))</f>
        <v/>
      </c>
      <c r="F3" s="11">
        <f>D3-E3</f>
        <v/>
      </c>
    </row>
    <row r="4">
      <c r="A4" s="1" t="n">
        <v>46112</v>
      </c>
      <c r="B4" s="6" t="n">
        <v>1016320</v>
      </c>
      <c r="C4" s="9">
        <f>B4*0.1</f>
        <v/>
      </c>
      <c r="D4" s="10">
        <f>B4+C4</f>
        <v/>
      </c>
      <c r="E4" s="10">
        <f>IF(D4&lt;=1000000,ROUNDDOWN(D4*0.1021,0),ROUNDDOWN(1000000*0.1021+(D4-1000000)*0.2042,0))</f>
        <v/>
      </c>
      <c r="F4" s="11">
        <f>D4-E4</f>
        <v/>
      </c>
    </row>
    <row r="5">
      <c r="A5" s="2" t="n">
        <v>46142</v>
      </c>
      <c r="B5" s="6" t="n">
        <v>849560</v>
      </c>
      <c r="C5" s="9">
        <f>B5*0.1</f>
        <v/>
      </c>
      <c r="D5" s="10">
        <f>B5+C5</f>
        <v/>
      </c>
      <c r="E5" s="10">
        <f>IF(D5&lt;=1000000,ROUNDDOWN(D5*0.1021,0),ROUNDDOWN(1000000*0.1021+(D5-1000000)*0.2042,0))</f>
        <v/>
      </c>
      <c r="F5" s="11">
        <f>D5-E5</f>
        <v/>
      </c>
    </row>
    <row r="6">
      <c r="A6" s="1" t="n">
        <v>46173</v>
      </c>
      <c r="B6" s="6" t="n">
        <v>784080</v>
      </c>
      <c r="C6" s="9">
        <f>B6*0.1</f>
        <v/>
      </c>
      <c r="D6" s="10">
        <f>B6+C6</f>
        <v/>
      </c>
      <c r="E6" s="10">
        <f>IF(D6&lt;=1000000,ROUNDDOWN(D6*0.1021,0),ROUNDDOWN(1000000*0.1021+(D6-1000000)*0.2042,0))</f>
        <v/>
      </c>
      <c r="F6" s="11">
        <f>D6-E6</f>
        <v/>
      </c>
    </row>
    <row r="7">
      <c r="A7" s="2" t="n">
        <v>46203</v>
      </c>
      <c r="B7" s="6" t="n">
        <v>641280</v>
      </c>
      <c r="C7" s="9">
        <f>B7*0.1</f>
        <v/>
      </c>
      <c r="D7" s="10">
        <f>B7+C7</f>
        <v/>
      </c>
      <c r="E7" s="10">
        <f>IF(D7&lt;=1000000,ROUNDDOWN(D7*0.1021,0),ROUNDDOWN(1000000*0.1021+(D7-1000000)*0.2042,0))</f>
        <v/>
      </c>
      <c r="F7" s="11">
        <f>D7-E7</f>
        <v/>
      </c>
    </row>
    <row r="8">
      <c r="A8" s="1" t="n">
        <v>46234</v>
      </c>
      <c r="B8" s="6" t="n">
        <v>1366480</v>
      </c>
      <c r="C8" s="9">
        <f>B8*0.1</f>
        <v/>
      </c>
      <c r="D8" s="10">
        <f>B8+C8</f>
        <v/>
      </c>
      <c r="E8" s="10">
        <f>IF(D8&lt;=1000000,ROUNDDOWN(D8*0.1021,0),ROUNDDOWN(1000000*0.1021+(D8-1000000)*0.2042,0))</f>
        <v/>
      </c>
      <c r="F8" s="11">
        <f>D8-E8</f>
        <v/>
      </c>
    </row>
    <row r="9">
      <c r="A9" s="16" t="n">
        <v>46265</v>
      </c>
      <c r="B9" s="6" t="n">
        <v>0</v>
      </c>
      <c r="C9" s="17">
        <f>B9*0.1</f>
        <v/>
      </c>
      <c r="D9" s="18">
        <f>B9+C9</f>
        <v/>
      </c>
      <c r="E9" s="18">
        <f>IF(D9&lt;=1000000,ROUNDDOWN(D9*0.1021,0),ROUNDDOWN(1000000*0.1021+(D9-1000000)*0.2042,0))</f>
        <v/>
      </c>
      <c r="F9" s="19">
        <f>D9-E9</f>
        <v/>
      </c>
    </row>
    <row r="10">
      <c r="A10" s="2" t="n">
        <v>46295</v>
      </c>
      <c r="B10" s="6" t="n"/>
      <c r="C10" s="9">
        <f>B10*0.1</f>
        <v/>
      </c>
      <c r="D10" s="10">
        <f>B10+C10</f>
        <v/>
      </c>
      <c r="E10" s="10">
        <f>IF(D10&lt;=1000000,ROUNDDOWN(D10*0.1021,0),ROUNDDOWN(1000000*0.1021+(D10-1000000)*0.2042,0))</f>
        <v/>
      </c>
      <c r="F10" s="11">
        <f>D10-E10</f>
        <v/>
      </c>
    </row>
    <row r="11">
      <c r="A11" s="1" t="n">
        <v>46326</v>
      </c>
      <c r="B11" s="6" t="n"/>
      <c r="C11" s="9">
        <f>B11*0.1</f>
        <v/>
      </c>
      <c r="D11" s="10">
        <f>B11+C11</f>
        <v/>
      </c>
      <c r="E11" s="10">
        <f>IF(D11&lt;=1000000,ROUNDDOWN(D11*0.1021,0),ROUNDDOWN(1000000*0.1021+(D11-1000000)*0.2042,0))</f>
        <v/>
      </c>
      <c r="F11" s="11">
        <f>D11-E11</f>
        <v/>
      </c>
    </row>
    <row r="12">
      <c r="A12" s="2" t="n">
        <v>46356</v>
      </c>
      <c r="B12" s="6" t="n"/>
      <c r="C12" s="9">
        <f>B12*0.1</f>
        <v/>
      </c>
      <c r="D12" s="10">
        <f>B12+C12</f>
        <v/>
      </c>
      <c r="E12" s="10">
        <f>IF(D12&lt;=1000000,ROUNDDOWN(D12*0.1021,0),ROUNDDOWN(1000000*0.1021+(D12-1000000)*0.2042,0))</f>
        <v/>
      </c>
      <c r="F12" s="11">
        <f>D12-E12</f>
        <v/>
      </c>
    </row>
    <row r="13">
      <c r="A13" s="2" t="n">
        <v>46387</v>
      </c>
      <c r="B13" s="6" t="n"/>
      <c r="C13" s="9">
        <f>B13*0.1</f>
        <v/>
      </c>
      <c r="D13" s="10">
        <f>B13+C13</f>
        <v/>
      </c>
      <c r="E13" s="10">
        <f>IF(D13&lt;=1000000,ROUNDDOWN(D13*0.1021,0),ROUNDDOWN(1000000*0.1021+(D13-1000000)*0.2042,0))</f>
        <v/>
      </c>
      <c r="F13" s="11">
        <f>D13-E13</f>
        <v/>
      </c>
    </row>
    <row r="14">
      <c r="A14" s="1" t="n">
        <v>46418</v>
      </c>
      <c r="B14" s="6" t="n"/>
      <c r="C14" s="9">
        <f>B14*0.1</f>
        <v/>
      </c>
      <c r="D14" s="10">
        <f>B14+C14</f>
        <v/>
      </c>
      <c r="E14" s="10">
        <f>IF(D14&lt;=1000000,ROUNDDOWN(D14*0.1021,0),ROUNDDOWN(1000000*0.1021+(D14-1000000)*0.2042,0))</f>
        <v/>
      </c>
      <c r="F14" s="11">
        <f>D14-E14</f>
        <v/>
      </c>
    </row>
    <row r="15">
      <c r="A15" s="2" t="n">
        <v>46446</v>
      </c>
      <c r="B15" s="6" t="n"/>
      <c r="C15" s="9">
        <f>B15*0.1</f>
        <v/>
      </c>
      <c r="D15" s="10">
        <f>B15+C15</f>
        <v/>
      </c>
      <c r="E15" s="10">
        <f>IF(D15&lt;=1000000,ROUNDDOWN(D15*0.1021,0),ROUNDDOWN(1000000*0.1021+(D15-1000000)*0.2042,0))</f>
        <v/>
      </c>
      <c r="F15" s="11">
        <f>D15-E15</f>
        <v/>
      </c>
    </row>
    <row r="16">
      <c r="A16" s="2" t="n">
        <v>46477</v>
      </c>
      <c r="B16" s="6" t="n"/>
      <c r="C16" s="9">
        <f>B16*0.1</f>
        <v/>
      </c>
      <c r="D16" s="10">
        <f>B16+C16</f>
        <v/>
      </c>
      <c r="E16" s="10">
        <f>IF(D16&lt;=1000000,ROUNDDOWN(D16*0.1021,0),ROUNDDOWN(1000000*0.1021+(D16-1000000)*0.2042,0))</f>
        <v/>
      </c>
      <c r="F16" s="11">
        <f>D16-E16</f>
        <v/>
      </c>
    </row>
    <row r="17">
      <c r="A17" s="1" t="n">
        <v>46507</v>
      </c>
      <c r="B17" s="6" t="n"/>
      <c r="C17" s="9">
        <f>B17*0.1</f>
        <v/>
      </c>
      <c r="D17" s="10">
        <f>B17+C17</f>
        <v/>
      </c>
      <c r="E17" s="10">
        <f>IF(D17&lt;=1000000,ROUNDDOWN(D17*0.1021,0),ROUNDDOWN(1000000*0.1021+(D17-1000000)*0.2042,0))</f>
        <v/>
      </c>
      <c r="F17" s="11">
        <f>D17-E17</f>
        <v/>
      </c>
    </row>
    <row r="18">
      <c r="A18" s="2" t="n">
        <v>46538</v>
      </c>
      <c r="B18" s="6" t="n"/>
      <c r="C18" s="9">
        <f>B18*0.1</f>
        <v/>
      </c>
      <c r="D18" s="10">
        <f>B18+C18</f>
        <v/>
      </c>
      <c r="E18" s="10">
        <f>IF(D18&lt;=1000000,ROUNDDOWN(D18*0.1021,0),ROUNDDOWN(1000000*0.1021+(D18-1000000)*0.2042,0))</f>
        <v/>
      </c>
      <c r="F18" s="11">
        <f>D18-E18</f>
        <v/>
      </c>
    </row>
    <row r="19">
      <c r="A19" s="1" t="n">
        <v>46568</v>
      </c>
      <c r="B19" s="6" t="n"/>
      <c r="C19" s="9">
        <f>B19*0.1</f>
        <v/>
      </c>
      <c r="D19" s="10">
        <f>B19+C19</f>
        <v/>
      </c>
      <c r="E19" s="10">
        <f>IF(D19&lt;=1000000,ROUNDDOWN(D19*0.1021,0),ROUNDDOWN(1000000*0.1021+(D19-1000000)*0.2042,0))</f>
        <v/>
      </c>
      <c r="F19" s="11">
        <f>D19-E19</f>
        <v/>
      </c>
    </row>
    <row r="20">
      <c r="A20" s="2" t="n">
        <v>46599</v>
      </c>
      <c r="B20" s="6" t="n"/>
      <c r="C20" s="9">
        <f>B20*0.1</f>
        <v/>
      </c>
      <c r="D20" s="10">
        <f>B20+C20</f>
        <v/>
      </c>
      <c r="E20" s="10">
        <f>IF(D20&lt;=1000000,ROUNDDOWN(D20*0.1021,0),ROUNDDOWN(1000000*0.1021+(D20-1000000)*0.2042,0))</f>
        <v/>
      </c>
      <c r="F20" s="11">
        <f>D20-E20</f>
        <v/>
      </c>
    </row>
    <row r="21">
      <c r="A21" s="1" t="n">
        <v>46630</v>
      </c>
      <c r="B21" s="6" t="n"/>
      <c r="C21" s="9">
        <f>B21*0.1</f>
        <v/>
      </c>
      <c r="D21" s="10">
        <f>B21+C21</f>
        <v/>
      </c>
      <c r="E21" s="10">
        <f>IF(D21&lt;=1000000,ROUNDDOWN(D21*0.1021,0),ROUNDDOWN(1000000*0.1021+(D21-1000000)*0.2042,0))</f>
        <v/>
      </c>
      <c r="F21" s="11">
        <f>D21-E21</f>
        <v/>
      </c>
    </row>
    <row r="22">
      <c r="A22" s="2" t="n">
        <v>46660</v>
      </c>
      <c r="B22" s="6" t="n"/>
      <c r="C22" s="9">
        <f>B22*0.1</f>
        <v/>
      </c>
      <c r="D22" s="10">
        <f>B22+C22</f>
        <v/>
      </c>
      <c r="E22" s="10">
        <f>IF(D22&lt;=1000000,ROUNDDOWN(D22*0.1021,0),ROUNDDOWN(1000000*0.1021+(D22-1000000)*0.2042,0))</f>
        <v/>
      </c>
      <c r="F22" s="11">
        <f>D22-E22</f>
        <v/>
      </c>
    </row>
    <row r="23">
      <c r="A23" s="1" t="n">
        <v>46691</v>
      </c>
      <c r="B23" s="6" t="n"/>
      <c r="C23" s="9">
        <f>B23*0.1</f>
        <v/>
      </c>
      <c r="D23" s="10">
        <f>B23+C23</f>
        <v/>
      </c>
      <c r="E23" s="10">
        <f>IF(D23&lt;=1000000,ROUNDDOWN(D23*0.1021,0),ROUNDDOWN(1000000*0.1021+(D23-1000000)*0.2042,0))</f>
        <v/>
      </c>
      <c r="F23" s="11">
        <f>D23-E23</f>
        <v/>
      </c>
    </row>
    <row r="24">
      <c r="A24" s="2" t="n">
        <v>46721</v>
      </c>
      <c r="B24" s="6" t="n"/>
      <c r="C24" s="9">
        <f>B24*0.1</f>
        <v/>
      </c>
      <c r="D24" s="10">
        <f>B24+C24</f>
        <v/>
      </c>
      <c r="E24" s="10">
        <f>IF(D24&lt;=1000000,ROUNDDOWN(D24*0.1021,0),ROUNDDOWN(1000000*0.1021+(D24-1000000)*0.2042,0))</f>
        <v/>
      </c>
      <c r="F24" s="11">
        <f>D24-E24</f>
        <v/>
      </c>
    </row>
    <row r="25">
      <c r="A25" s="1" t="n">
        <v>46752</v>
      </c>
      <c r="B25" s="6" t="n"/>
      <c r="C25" s="9">
        <f>B25*0.1</f>
        <v/>
      </c>
      <c r="D25" s="10">
        <f>B25+C25</f>
        <v/>
      </c>
      <c r="E25" s="10">
        <f>IF(D25&lt;=1000000,ROUNDDOWN(D25*0.1021,0),ROUNDDOWN(1000000*0.1021+(D25-1000000)*0.2042,0))</f>
        <v/>
      </c>
      <c r="F25" s="11">
        <f>D25-E25</f>
        <v/>
      </c>
    </row>
    <row r="26">
      <c r="A26" s="2" t="n">
        <v>46783</v>
      </c>
      <c r="B26" s="6" t="n"/>
      <c r="C26" s="9">
        <f>B26*0.1</f>
        <v/>
      </c>
      <c r="D26" s="10">
        <f>B26+C26</f>
        <v/>
      </c>
      <c r="E26" s="10">
        <f>IF(D26&lt;=1000000,ROUNDDOWN(D26*0.1021,0),ROUNDDOWN(1000000*0.1021+(D26-1000000)*0.2042,0))</f>
        <v/>
      </c>
      <c r="F26" s="11">
        <f>D26-E26</f>
        <v/>
      </c>
    </row>
    <row r="27">
      <c r="A27" s="1" t="n">
        <v>46812</v>
      </c>
      <c r="B27" s="6" t="n"/>
      <c r="C27" s="9">
        <f>B27*0.1</f>
        <v/>
      </c>
      <c r="D27" s="10">
        <f>B27+C27</f>
        <v/>
      </c>
      <c r="E27" s="10">
        <f>IF(D27&lt;=1000000,ROUNDDOWN(D27*0.1021,0),ROUNDDOWN(1000000*0.1021+(D27-1000000)*0.2042,0))</f>
        <v/>
      </c>
      <c r="F27" s="11">
        <f>D27-E27</f>
        <v/>
      </c>
    </row>
    <row r="28">
      <c r="A28" s="2" t="n">
        <v>46843</v>
      </c>
      <c r="B28" s="6" t="n"/>
      <c r="C28" s="9">
        <f>B28*0.1</f>
        <v/>
      </c>
      <c r="D28" s="10">
        <f>B28+C28</f>
        <v/>
      </c>
      <c r="E28" s="10">
        <f>IF(D28&lt;=1000000,ROUNDDOWN(D28*0.1021,0),ROUNDDOWN(1000000*0.1021+(D28-1000000)*0.2042,0))</f>
        <v/>
      </c>
      <c r="F28" s="11">
        <f>D28-E28</f>
        <v/>
      </c>
    </row>
    <row r="29">
      <c r="A29" s="1" t="n">
        <v>46873</v>
      </c>
      <c r="B29" s="6" t="n"/>
      <c r="C29" s="9">
        <f>B29*0.1</f>
        <v/>
      </c>
      <c r="D29" s="10">
        <f>B29+C29</f>
        <v/>
      </c>
      <c r="E29" s="10">
        <f>IF(D29&lt;=1000000,ROUNDDOWN(D29*0.1021,0),ROUNDDOWN(1000000*0.1021+(D29-1000000)*0.2042,0))</f>
        <v/>
      </c>
      <c r="F29" s="11">
        <f>D29-E29</f>
        <v/>
      </c>
    </row>
    <row r="30">
      <c r="A30" s="2" t="n">
        <v>46904</v>
      </c>
      <c r="B30" s="6" t="n"/>
      <c r="C30" s="9">
        <f>B30*0.1</f>
        <v/>
      </c>
      <c r="D30" s="10">
        <f>B30+C30</f>
        <v/>
      </c>
      <c r="E30" s="10">
        <f>IF(D30&lt;=1000000,ROUNDDOWN(D30*0.1021,0),ROUNDDOWN(1000000*0.1021+(D30-1000000)*0.2042,0))</f>
        <v/>
      </c>
      <c r="F30" s="11">
        <f>D30-E30</f>
        <v/>
      </c>
    </row>
    <row r="31">
      <c r="A31" s="1" t="n">
        <v>46934</v>
      </c>
      <c r="B31" s="6" t="n"/>
      <c r="C31" s="9">
        <f>B31*0.1</f>
        <v/>
      </c>
      <c r="D31" s="10">
        <f>B31+C31</f>
        <v/>
      </c>
      <c r="E31" s="10">
        <f>IF(D31&lt;=1000000,ROUNDDOWN(D31*0.1021,0),ROUNDDOWN(1000000*0.1021+(D31-1000000)*0.2042,0))</f>
        <v/>
      </c>
      <c r="F31" s="11">
        <f>D31-E31</f>
        <v/>
      </c>
    </row>
    <row r="32">
      <c r="A32" s="2" t="n">
        <v>46965</v>
      </c>
      <c r="B32" s="6" t="n"/>
      <c r="C32" s="9">
        <f>B32*0.1</f>
        <v/>
      </c>
      <c r="D32" s="10">
        <f>B32+C32</f>
        <v/>
      </c>
      <c r="E32" s="10">
        <f>IF(D32&lt;=1000000,ROUNDDOWN(D32*0.1021,0),ROUNDDOWN(1000000*0.1021+(D32-1000000)*0.2042,0))</f>
        <v/>
      </c>
      <c r="F32" s="11">
        <f>D32-E32</f>
        <v/>
      </c>
    </row>
    <row r="33">
      <c r="A33" s="1" t="n">
        <v>46996</v>
      </c>
      <c r="B33" s="6" t="n"/>
      <c r="C33" s="9">
        <f>B33*0.1</f>
        <v/>
      </c>
      <c r="D33" s="10">
        <f>B33+C33</f>
        <v/>
      </c>
      <c r="E33" s="10">
        <f>IF(D33&lt;=1000000,ROUNDDOWN(D33*0.1021,0),ROUNDDOWN(1000000*0.1021+(D33-1000000)*0.2042,0))</f>
        <v/>
      </c>
      <c r="F33" s="11">
        <f>D33-E33</f>
        <v/>
      </c>
    </row>
    <row r="34">
      <c r="A34" s="2" t="n">
        <v>47026</v>
      </c>
      <c r="B34" s="6" t="n"/>
      <c r="C34" s="9">
        <f>B34*0.1</f>
        <v/>
      </c>
      <c r="D34" s="10">
        <f>B34+C34</f>
        <v/>
      </c>
      <c r="E34" s="10">
        <f>IF(D34&lt;=1000000,ROUNDDOWN(D34*0.1021,0),ROUNDDOWN(1000000*0.1021+(D34-1000000)*0.2042,0))</f>
        <v/>
      </c>
      <c r="F34" s="11">
        <f>D34-E34</f>
        <v/>
      </c>
    </row>
    <row r="35">
      <c r="A35" s="1" t="n">
        <v>47057</v>
      </c>
      <c r="B35" s="6" t="n"/>
      <c r="C35" s="9">
        <f>B35*0.1</f>
        <v/>
      </c>
      <c r="D35" s="10">
        <f>B35+C35</f>
        <v/>
      </c>
      <c r="E35" s="10">
        <f>IF(D35&lt;=1000000,ROUNDDOWN(D35*0.1021,0),ROUNDDOWN(1000000*0.1021+(D35-1000000)*0.2042,0))</f>
        <v/>
      </c>
      <c r="F35" s="11">
        <f>D35-E35</f>
        <v/>
      </c>
    </row>
    <row r="36">
      <c r="A36" s="2" t="n">
        <v>47087</v>
      </c>
      <c r="B36" s="6" t="n"/>
      <c r="C36" s="9">
        <f>B36*0.1</f>
        <v/>
      </c>
      <c r="D36" s="10">
        <f>B36+C36</f>
        <v/>
      </c>
      <c r="E36" s="10">
        <f>IF(D36&lt;=1000000,ROUNDDOWN(D36*0.1021,0),ROUNDDOWN(1000000*0.1021+(D36-1000000)*0.2042,0))</f>
        <v/>
      </c>
      <c r="F36" s="11">
        <f>D36-E36</f>
        <v/>
      </c>
    </row>
    <row r="37">
      <c r="A37" s="1" t="n">
        <v>47118</v>
      </c>
      <c r="B37" s="6" t="n"/>
      <c r="C37" s="9">
        <f>B37*0.1</f>
        <v/>
      </c>
      <c r="D37" s="10">
        <f>B37+C37</f>
        <v/>
      </c>
      <c r="E37" s="10">
        <f>IF(D37&lt;=1000000,ROUNDDOWN(D37*0.1021,0),ROUNDDOWN(1000000*0.1021+(D37-1000000)*0.2042,0))</f>
        <v/>
      </c>
      <c r="F37" s="11">
        <f>D37-E37</f>
        <v/>
      </c>
    </row>
    <row r="38">
      <c r="A38" s="2" t="n"/>
      <c r="B38" s="6" t="n"/>
      <c r="C38" s="9" t="n"/>
      <c r="D38" s="10" t="n"/>
      <c r="E38" s="10" t="n"/>
      <c r="F38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G1" sqref="G1:G9"/>
    </sheetView>
  </sheetViews>
  <sheetFormatPr baseColWidth="8" defaultRowHeight="18"/>
  <cols>
    <col width="11.3984375" bestFit="1" customWidth="1" style="27" min="1" max="1"/>
    <col width="16.796875" customWidth="1" style="27" min="2" max="2"/>
    <col width="11" customWidth="1" style="27" min="3" max="3"/>
    <col width="17.5" bestFit="1" customWidth="1" style="27" min="4" max="4"/>
    <col width="13.69921875" bestFit="1" customWidth="1" style="27" min="5" max="5"/>
    <col width="9.5" bestFit="1" customWidth="1" style="27" min="6" max="6"/>
    <col width="17.5" bestFit="1" customWidth="1" style="3" min="7" max="7"/>
  </cols>
  <sheetData>
    <row r="1">
      <c r="A1" s="5" t="inlineStr">
        <is>
          <t>支払日</t>
        </is>
      </c>
      <c r="B1" s="6" t="inlineStr">
        <is>
          <t>請求額（税抜き）</t>
        </is>
      </c>
      <c r="C1" s="6" t="inlineStr">
        <is>
          <t>消費税額</t>
        </is>
      </c>
      <c r="D1" s="6" t="inlineStr">
        <is>
          <t>請求額（税込み）</t>
        </is>
      </c>
      <c r="E1" s="6" t="inlineStr">
        <is>
          <t>源泉徴収額</t>
        </is>
      </c>
      <c r="F1" s="5" t="inlineStr">
        <is>
          <t>振込額</t>
        </is>
      </c>
      <c r="G1" s="6" t="n"/>
    </row>
    <row r="2">
      <c r="A2" s="1" t="n">
        <v>46053</v>
      </c>
      <c r="B2" s="6" t="n">
        <v>708360</v>
      </c>
      <c r="C2" s="9">
        <f>B2*0.1</f>
        <v/>
      </c>
      <c r="D2" s="10">
        <f>B2+C2</f>
        <v/>
      </c>
      <c r="E2" s="10">
        <f>IF(B2&lt;=1000000,ROUNDUP(B2*0.1021,0),ROUNDUP(1000000*0.1021+(B2-1000000)*0.2042,0))</f>
        <v/>
      </c>
      <c r="F2" s="11">
        <f>D2-E2</f>
        <v/>
      </c>
    </row>
    <row r="3">
      <c r="A3" s="2" t="n">
        <v>46081</v>
      </c>
      <c r="B3" s="6" t="n">
        <v>743130</v>
      </c>
      <c r="C3" s="9">
        <f>B3*0.1</f>
        <v/>
      </c>
      <c r="D3" s="10">
        <f>B3+C3</f>
        <v/>
      </c>
      <c r="E3" s="10">
        <f>IF(B3&lt;=1000000,ROUNDUP(B3*0.1021,0),ROUNDUP(1000000*0.1021+(B3-1000000)*0.2042,0))</f>
        <v/>
      </c>
      <c r="F3" s="11">
        <f>D3-E3</f>
        <v/>
      </c>
    </row>
    <row r="4">
      <c r="A4" s="1" t="n">
        <v>46112</v>
      </c>
      <c r="B4" s="6" t="n">
        <v>745570</v>
      </c>
      <c r="C4" s="9">
        <f>B4*0.1</f>
        <v/>
      </c>
      <c r="D4" s="10">
        <f>B4+C4</f>
        <v/>
      </c>
      <c r="E4" s="10">
        <f>IF(B4&lt;=1000000,ROUNDUP(B4*0.1021,0),ROUNDUP(1000000*0.1021+(B4-1000000)*0.2042,0))</f>
        <v/>
      </c>
      <c r="F4" s="11">
        <f>D4-E4</f>
        <v/>
      </c>
    </row>
    <row r="5">
      <c r="A5" s="2" t="n">
        <v>46142</v>
      </c>
      <c r="B5" s="6" t="n">
        <v>776140</v>
      </c>
      <c r="C5" s="9">
        <f>B5*0.1</f>
        <v/>
      </c>
      <c r="D5" s="10">
        <f>B5+C5</f>
        <v/>
      </c>
      <c r="E5" s="10">
        <f>IF(B5&lt;=1000000,ROUNDUP(B5*0.1021,0),ROUNDUP(1000000*0.1021+(B5-1000000)*0.2042,0))</f>
        <v/>
      </c>
      <c r="F5" s="11">
        <f>D5-E5</f>
        <v/>
      </c>
    </row>
    <row r="6">
      <c r="A6" s="1" t="n">
        <v>46173</v>
      </c>
      <c r="B6" s="6" t="n">
        <v>789430</v>
      </c>
      <c r="C6" s="9">
        <f>B6*0.1</f>
        <v/>
      </c>
      <c r="D6" s="10">
        <f>B6+C6</f>
        <v/>
      </c>
      <c r="E6" s="10">
        <f>IF(B6&lt;=1000000,ROUNDUP(B6*0.1021,0),ROUNDUP(1000000*0.1021+(B6-1000000)*0.2042,0))</f>
        <v/>
      </c>
      <c r="F6" s="11">
        <f>D6-E6</f>
        <v/>
      </c>
    </row>
    <row r="7">
      <c r="A7" s="2" t="n">
        <v>46203</v>
      </c>
      <c r="B7" s="6" t="n">
        <v>872280</v>
      </c>
      <c r="C7" s="9">
        <f>B7*0.1</f>
        <v/>
      </c>
      <c r="D7" s="10">
        <f>B7+C7</f>
        <v/>
      </c>
      <c r="E7" s="10">
        <f>IF(B7&lt;=1000000,ROUNDUP(B7*0.1021,0),ROUNDUP(1000000*0.1021+(B7-1000000)*0.2042,0))</f>
        <v/>
      </c>
      <c r="F7" s="11">
        <f>D7-E7</f>
        <v/>
      </c>
    </row>
    <row r="8">
      <c r="A8" s="1" t="n">
        <v>46234</v>
      </c>
      <c r="B8" s="6" t="n">
        <v>766160</v>
      </c>
      <c r="C8" s="9">
        <f>B8*0.1</f>
        <v/>
      </c>
      <c r="D8" s="10">
        <f>B8+C8</f>
        <v/>
      </c>
      <c r="E8" s="10">
        <f>IF(B8&lt;=1000000,ROUNDUP(B8*0.1021,0),ROUNDUP(1000000*0.1021+(B8-1000000)*0.2042,0))</f>
        <v/>
      </c>
      <c r="F8" s="11">
        <f>D8-E8</f>
        <v/>
      </c>
    </row>
    <row r="9">
      <c r="A9" s="2" t="n">
        <v>46265</v>
      </c>
      <c r="B9" s="6" t="n">
        <v>703228</v>
      </c>
      <c r="C9" s="9">
        <f>B9*0.1</f>
        <v/>
      </c>
      <c r="D9" s="10">
        <f>B9+C9</f>
        <v/>
      </c>
      <c r="E9" s="10">
        <f>IF(B9&lt;=1000000,ROUNDUP(B9*0.1021,0),ROUNDUP(1000000*0.1021+(B9-1000000)*0.2042,0))</f>
        <v/>
      </c>
      <c r="F9" s="21">
        <f>D9-E9</f>
        <v/>
      </c>
    </row>
    <row r="10">
      <c r="A10" s="2" t="n">
        <v>46295</v>
      </c>
      <c r="B10" s="6" t="n"/>
      <c r="C10" s="9">
        <f>B10*0.1</f>
        <v/>
      </c>
      <c r="D10" s="10">
        <f>B10+C10</f>
        <v/>
      </c>
      <c r="E10" s="10">
        <f>IF(B10&lt;=1000000,ROUNDUP(B10*0.1021,0),ROUNDUP(1000000*0.1021+(B10-1000000)*0.2042,0))</f>
        <v/>
      </c>
      <c r="F10" s="11">
        <f>D10-E10</f>
        <v/>
      </c>
    </row>
    <row r="11">
      <c r="A11" s="1" t="n">
        <v>46326</v>
      </c>
      <c r="B11" s="6" t="n"/>
      <c r="C11" s="9">
        <f>B11*0.1</f>
        <v/>
      </c>
      <c r="D11" s="10">
        <f>B11+C11</f>
        <v/>
      </c>
      <c r="E11" s="10">
        <f>IF(B11&lt;=1000000,ROUNDUP(B11*0.1021,0),ROUNDUP(1000000*0.1021+(B11-1000000)*0.2042,0))</f>
        <v/>
      </c>
      <c r="F11" s="11">
        <f>D11-E11</f>
        <v/>
      </c>
    </row>
    <row r="12">
      <c r="A12" s="2" t="n">
        <v>46356</v>
      </c>
      <c r="B12" s="6" t="n"/>
      <c r="C12" s="9">
        <f>B12*0.1</f>
        <v/>
      </c>
      <c r="D12" s="10">
        <f>B12+C12</f>
        <v/>
      </c>
      <c r="E12" s="10">
        <f>IF(B12&lt;=1000000,ROUNDUP(B12*0.1021,0),ROUNDUP(1000000*0.1021+(B12-1000000)*0.2042,0))</f>
        <v/>
      </c>
      <c r="F12" s="11">
        <f>D12-E12</f>
        <v/>
      </c>
    </row>
    <row r="13">
      <c r="A13" s="2" t="n">
        <v>46387</v>
      </c>
      <c r="B13" s="6" t="n"/>
      <c r="C13" s="9">
        <f>B13*0.1</f>
        <v/>
      </c>
      <c r="D13" s="10">
        <f>B13+C13</f>
        <v/>
      </c>
      <c r="E13" s="10">
        <f>IF(B13&lt;=1000000,ROUNDUP(B13*0.1021,0),ROUNDUP(1000000*0.1021+(B13-1000000)*0.2042,0))</f>
        <v/>
      </c>
      <c r="F13" s="11">
        <f>D13-E13</f>
        <v/>
      </c>
    </row>
    <row r="14">
      <c r="A14" s="1" t="n">
        <v>46418</v>
      </c>
      <c r="B14" s="6" t="n"/>
      <c r="C14" s="9">
        <f>B14*0.1</f>
        <v/>
      </c>
      <c r="D14" s="10">
        <f>B14+C14</f>
        <v/>
      </c>
      <c r="E14" s="10">
        <f>IF(B14&lt;=1000000,ROUNDUP(B14*0.1021,0),ROUNDUP(1000000*0.1021+(B14-1000000)*0.2042,0))</f>
        <v/>
      </c>
      <c r="F14" s="11">
        <f>D14-E14</f>
        <v/>
      </c>
    </row>
    <row r="15">
      <c r="A15" s="2" t="n">
        <v>46446</v>
      </c>
      <c r="B15" s="6" t="n"/>
      <c r="C15" s="9">
        <f>B15*0.1</f>
        <v/>
      </c>
      <c r="D15" s="10">
        <f>B15+C15</f>
        <v/>
      </c>
      <c r="E15" s="10">
        <f>IF(B15&lt;=1000000,ROUNDUP(B15*0.1021,0),ROUNDUP(1000000*0.1021+(B15-1000000)*0.2042,0))</f>
        <v/>
      </c>
      <c r="F15" s="11">
        <f>D15-E15</f>
        <v/>
      </c>
    </row>
    <row r="16">
      <c r="A16" s="2" t="n">
        <v>46477</v>
      </c>
      <c r="B16" s="6" t="n"/>
      <c r="C16" s="9">
        <f>B16*0.1</f>
        <v/>
      </c>
      <c r="D16" s="10">
        <f>B16+C16</f>
        <v/>
      </c>
      <c r="E16" s="10">
        <f>IF(B16&lt;=1000000,ROUNDUP(B16*0.1021,0),ROUNDUP(1000000*0.1021+(B16-1000000)*0.2042,0))</f>
        <v/>
      </c>
      <c r="F16" s="11">
        <f>D16-E16</f>
        <v/>
      </c>
    </row>
    <row r="17">
      <c r="A17" s="1" t="n">
        <v>46507</v>
      </c>
      <c r="B17" s="6" t="n"/>
      <c r="C17" s="9">
        <f>B17*0.1</f>
        <v/>
      </c>
      <c r="D17" s="10">
        <f>B17+C17</f>
        <v/>
      </c>
      <c r="E17" s="10">
        <f>IF(B17&lt;=1000000,ROUNDUP(B17*0.1021,0),ROUNDUP(1000000*0.1021+(B17-1000000)*0.2042,0))</f>
        <v/>
      </c>
      <c r="F17" s="11">
        <f>D17-E17</f>
        <v/>
      </c>
    </row>
    <row r="18">
      <c r="A18" s="2" t="n">
        <v>46538</v>
      </c>
      <c r="B18" s="6" t="n"/>
      <c r="C18" s="9">
        <f>B18*0.1</f>
        <v/>
      </c>
      <c r="D18" s="10">
        <f>B18+C18</f>
        <v/>
      </c>
      <c r="E18" s="10">
        <f>IF(B18&lt;=1000000,ROUNDUP(B18*0.1021,0),ROUNDUP(1000000*0.1021+(B18-1000000)*0.2042,0))</f>
        <v/>
      </c>
      <c r="F18" s="11">
        <f>D18-E18</f>
        <v/>
      </c>
    </row>
    <row r="19">
      <c r="A19" s="1" t="n">
        <v>46568</v>
      </c>
      <c r="B19" s="6" t="n"/>
      <c r="C19" s="9">
        <f>B19*0.1</f>
        <v/>
      </c>
      <c r="D19" s="10">
        <f>B19+C19</f>
        <v/>
      </c>
      <c r="E19" s="10">
        <f>IF(B19&lt;=1000000,ROUNDUP(B19*0.1021,0),ROUNDUP(1000000*0.1021+(B19-1000000)*0.2042,0))</f>
        <v/>
      </c>
      <c r="F19" s="11">
        <f>D19-E19</f>
        <v/>
      </c>
    </row>
    <row r="20">
      <c r="A20" s="2" t="n">
        <v>46599</v>
      </c>
      <c r="B20" s="6" t="n"/>
      <c r="C20" s="9">
        <f>B20*0.1</f>
        <v/>
      </c>
      <c r="D20" s="10">
        <f>B20+C20</f>
        <v/>
      </c>
      <c r="E20" s="10">
        <f>IF(B20&lt;=1000000,ROUNDUP(B20*0.1021,0),ROUNDUP(1000000*0.1021+(B20-1000000)*0.2042,0))</f>
        <v/>
      </c>
      <c r="F20" s="11">
        <f>D20-E20</f>
        <v/>
      </c>
    </row>
    <row r="21">
      <c r="A21" s="1" t="n">
        <v>46630</v>
      </c>
      <c r="B21" s="6" t="n"/>
      <c r="C21" s="9">
        <f>B21*0.1</f>
        <v/>
      </c>
      <c r="D21" s="10">
        <f>B21+C21</f>
        <v/>
      </c>
      <c r="E21" s="10">
        <f>IF(B21&lt;=1000000,ROUNDUP(B21*0.1021,0),ROUNDUP(1000000*0.1021+(B21-1000000)*0.2042,0))</f>
        <v/>
      </c>
      <c r="F21" s="11">
        <f>D21-E21</f>
        <v/>
      </c>
    </row>
    <row r="22">
      <c r="A22" s="2" t="n">
        <v>46660</v>
      </c>
      <c r="B22" s="6" t="n"/>
      <c r="C22" s="9">
        <f>B22*0.1</f>
        <v/>
      </c>
      <c r="D22" s="10">
        <f>B22+C22</f>
        <v/>
      </c>
      <c r="E22" s="10">
        <f>IF(B22&lt;=1000000,ROUNDUP(B22*0.1021,0),ROUNDUP(1000000*0.1021+(B22-1000000)*0.2042,0))</f>
        <v/>
      </c>
      <c r="F22" s="11">
        <f>D22-E22</f>
        <v/>
      </c>
    </row>
    <row r="23">
      <c r="A23" s="1" t="n">
        <v>46691</v>
      </c>
      <c r="B23" s="6" t="n"/>
      <c r="C23" s="9">
        <f>B23*0.1</f>
        <v/>
      </c>
      <c r="D23" s="10">
        <f>B23+C23</f>
        <v/>
      </c>
      <c r="E23" s="10">
        <f>IF(B23&lt;=1000000,ROUNDUP(B23*0.1021,0),ROUNDUP(1000000*0.1021+(B23-1000000)*0.2042,0))</f>
        <v/>
      </c>
      <c r="F23" s="11">
        <f>D23-E23</f>
        <v/>
      </c>
    </row>
    <row r="24">
      <c r="A24" s="2" t="n">
        <v>46721</v>
      </c>
      <c r="B24" s="6" t="n"/>
      <c r="C24" s="9">
        <f>B24*0.1</f>
        <v/>
      </c>
      <c r="D24" s="10">
        <f>B24+C24</f>
        <v/>
      </c>
      <c r="E24" s="10">
        <f>IF(B24&lt;=1000000,ROUNDUP(B24*0.1021,0),ROUNDUP(1000000*0.1021+(B24-1000000)*0.2042,0))</f>
        <v/>
      </c>
      <c r="F24" s="11">
        <f>D24-E24</f>
        <v/>
      </c>
    </row>
    <row r="25">
      <c r="A25" s="1" t="n">
        <v>46752</v>
      </c>
      <c r="B25" s="6" t="n"/>
      <c r="C25" s="9">
        <f>B25*0.1</f>
        <v/>
      </c>
      <c r="D25" s="10">
        <f>B25+C25</f>
        <v/>
      </c>
      <c r="E25" s="10">
        <f>IF(B25&lt;=1000000,ROUNDUP(B25*0.1021,0),ROUNDUP(1000000*0.1021+(B25-1000000)*0.2042,0))</f>
        <v/>
      </c>
      <c r="F25" s="11">
        <f>D25-E25</f>
        <v/>
      </c>
    </row>
    <row r="26">
      <c r="A26" s="2" t="n">
        <v>46783</v>
      </c>
      <c r="B26" s="6" t="n"/>
      <c r="C26" s="9">
        <f>B26*0.1</f>
        <v/>
      </c>
      <c r="D26" s="10">
        <f>B26+C26</f>
        <v/>
      </c>
      <c r="E26" s="10">
        <f>IF(B26&lt;=1000000,ROUNDUP(B26*0.1021,0),ROUNDUP(1000000*0.1021+(B26-1000000)*0.2042,0))</f>
        <v/>
      </c>
      <c r="F26" s="11">
        <f>D26-E26</f>
        <v/>
      </c>
    </row>
    <row r="27">
      <c r="A27" s="1" t="n">
        <v>46812</v>
      </c>
      <c r="B27" s="6" t="n"/>
      <c r="C27" s="9">
        <f>B27*0.1</f>
        <v/>
      </c>
      <c r="D27" s="10">
        <f>B27+C27</f>
        <v/>
      </c>
      <c r="E27" s="10">
        <f>IF(B27&lt;=1000000,ROUNDUP(B27*0.1021,0),ROUNDUP(1000000*0.1021+(B27-1000000)*0.2042,0))</f>
        <v/>
      </c>
      <c r="F27" s="11">
        <f>D27-E27</f>
        <v/>
      </c>
    </row>
    <row r="28">
      <c r="A28" s="2" t="n">
        <v>46843</v>
      </c>
      <c r="B28" s="6" t="n"/>
      <c r="C28" s="9">
        <f>B28*0.1</f>
        <v/>
      </c>
      <c r="D28" s="10">
        <f>B28+C28</f>
        <v/>
      </c>
      <c r="E28" s="10">
        <f>IF(B28&lt;=1000000,ROUNDUP(B28*0.1021,0),ROUNDUP(1000000*0.1021+(B28-1000000)*0.2042,0))</f>
        <v/>
      </c>
      <c r="F28" s="11">
        <f>D28-E28</f>
        <v/>
      </c>
    </row>
    <row r="29">
      <c r="A29" s="1" t="n">
        <v>46873</v>
      </c>
      <c r="B29" s="6" t="n"/>
      <c r="C29" s="9">
        <f>B29*0.1</f>
        <v/>
      </c>
      <c r="D29" s="10">
        <f>B29+C29</f>
        <v/>
      </c>
      <c r="E29" s="10">
        <f>IF(B29&lt;=1000000,ROUNDUP(B29*0.1021,0),ROUNDUP(1000000*0.1021+(B29-1000000)*0.2042,0))</f>
        <v/>
      </c>
      <c r="F29" s="11">
        <f>D29-E29</f>
        <v/>
      </c>
    </row>
    <row r="30">
      <c r="A30" s="2" t="n">
        <v>46904</v>
      </c>
      <c r="B30" s="6" t="n"/>
      <c r="C30" s="9">
        <f>B30*0.1</f>
        <v/>
      </c>
      <c r="D30" s="10">
        <f>B30+C30</f>
        <v/>
      </c>
      <c r="E30" s="10">
        <f>IF(B30&lt;=1000000,ROUNDUP(B30*0.1021,0),ROUNDUP(1000000*0.1021+(B30-1000000)*0.2042,0))</f>
        <v/>
      </c>
      <c r="F30" s="11">
        <f>D30-E30</f>
        <v/>
      </c>
    </row>
    <row r="31">
      <c r="A31" s="1" t="n">
        <v>46934</v>
      </c>
      <c r="B31" s="6" t="n"/>
      <c r="C31" s="9">
        <f>B31*0.1</f>
        <v/>
      </c>
      <c r="D31" s="10">
        <f>B31+C31</f>
        <v/>
      </c>
      <c r="E31" s="10">
        <f>IF(B31&lt;=1000000,ROUNDUP(B31*0.1021,0),ROUNDUP(1000000*0.1021+(B31-1000000)*0.2042,0))</f>
        <v/>
      </c>
      <c r="F31" s="11">
        <f>D31-E31</f>
        <v/>
      </c>
    </row>
    <row r="32">
      <c r="A32" s="2" t="n">
        <v>46965</v>
      </c>
      <c r="B32" s="6" t="n"/>
      <c r="C32" s="9">
        <f>B32*0.1</f>
        <v/>
      </c>
      <c r="D32" s="10">
        <f>B32+C32</f>
        <v/>
      </c>
      <c r="E32" s="10">
        <f>IF(B32&lt;=1000000,ROUNDUP(B32*0.1021,0),ROUNDUP(1000000*0.1021+(B32-1000000)*0.2042,0))</f>
        <v/>
      </c>
      <c r="F32" s="11">
        <f>D32-E32</f>
        <v/>
      </c>
    </row>
    <row r="33">
      <c r="A33" s="1" t="n">
        <v>46996</v>
      </c>
      <c r="B33" s="6" t="n"/>
      <c r="C33" s="9">
        <f>B33*0.1</f>
        <v/>
      </c>
      <c r="D33" s="10">
        <f>B33+C33</f>
        <v/>
      </c>
      <c r="E33" s="10">
        <f>IF(B33&lt;=1000000,ROUNDUP(B33*0.1021,0),ROUNDUP(1000000*0.1021+(B33-1000000)*0.2042,0))</f>
        <v/>
      </c>
      <c r="F33" s="11">
        <f>D33-E33</f>
        <v/>
      </c>
    </row>
    <row r="34">
      <c r="A34" s="2" t="n">
        <v>47026</v>
      </c>
      <c r="B34" s="6" t="n"/>
      <c r="C34" s="9">
        <f>B34*0.1</f>
        <v/>
      </c>
      <c r="D34" s="10">
        <f>B34+C34</f>
        <v/>
      </c>
      <c r="E34" s="10">
        <f>IF(B34&lt;=1000000,ROUNDUP(B34*0.1021,0),ROUNDUP(1000000*0.1021+(B34-1000000)*0.2042,0))</f>
        <v/>
      </c>
      <c r="F34" s="11">
        <f>D34-E34</f>
        <v/>
      </c>
    </row>
    <row r="35">
      <c r="A35" s="1" t="n">
        <v>47057</v>
      </c>
      <c r="B35" s="6" t="n"/>
      <c r="C35" s="9">
        <f>B35*0.1</f>
        <v/>
      </c>
      <c r="D35" s="10">
        <f>B35+C35</f>
        <v/>
      </c>
      <c r="E35" s="10">
        <f>IF(B35&lt;=1000000,ROUNDUP(B35*0.1021,0),ROUNDUP(1000000*0.1021+(B35-1000000)*0.2042,0))</f>
        <v/>
      </c>
      <c r="F35" s="11">
        <f>D35-E35</f>
        <v/>
      </c>
    </row>
    <row r="36">
      <c r="A36" s="2" t="n">
        <v>47087</v>
      </c>
      <c r="B36" s="6" t="n"/>
      <c r="C36" s="9">
        <f>B36*0.1</f>
        <v/>
      </c>
      <c r="D36" s="10">
        <f>B36+C36</f>
        <v/>
      </c>
      <c r="E36" s="10">
        <f>IF(B36&lt;=1000000,ROUNDUP(B36*0.1021,0),ROUNDUP(1000000*0.1021+(B36-1000000)*0.2042,0))</f>
        <v/>
      </c>
      <c r="F36" s="11">
        <f>D36-E36</f>
        <v/>
      </c>
    </row>
    <row r="37">
      <c r="A37" s="1" t="n">
        <v>47118</v>
      </c>
      <c r="B37" s="6" t="n"/>
      <c r="C37" s="9">
        <f>B37*0.1</f>
        <v/>
      </c>
      <c r="D37" s="10">
        <f>B37+C37</f>
        <v/>
      </c>
      <c r="E37" s="10">
        <f>IF(B37&lt;=1000000,ROUNDUP(B37*0.1021,0),ROUNDUP(1000000*0.1021+(B37-1000000)*0.2042,0))</f>
        <v/>
      </c>
      <c r="F37" s="11">
        <f>D37-E37</f>
        <v/>
      </c>
    </row>
    <row r="38">
      <c r="A38" s="2" t="n"/>
      <c r="B38" s="6" t="n"/>
      <c r="C38" s="9" t="n"/>
      <c r="D38" s="10" t="n"/>
      <c r="E38" s="10" t="n"/>
      <c r="F38" s="1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"/>
  <sheetViews>
    <sheetView topLeftCell="A4" workbookViewId="0">
      <selection activeCell="E9" sqref="E9"/>
    </sheetView>
  </sheetViews>
  <sheetFormatPr baseColWidth="8" defaultRowHeight="18"/>
  <cols>
    <col width="11.3984375" bestFit="1" customWidth="1" style="27" min="1" max="1"/>
    <col width="16.296875" bestFit="1" customWidth="1" style="3" min="2" max="2"/>
    <col width="11.3984375" customWidth="1" style="3" min="3" max="3"/>
    <col width="17.19921875" bestFit="1" customWidth="1" style="23" min="4" max="4"/>
    <col width="11" bestFit="1" customWidth="1" style="23" min="5" max="5"/>
    <col width="13.19921875" customWidth="1" style="27" min="6" max="6"/>
    <col width="16.296875" bestFit="1" customWidth="1" style="27" min="7" max="7"/>
  </cols>
  <sheetData>
    <row r="1">
      <c r="A1" s="5" t="inlineStr">
        <is>
          <t>支払日</t>
        </is>
      </c>
      <c r="B1" s="6" t="inlineStr">
        <is>
          <t>請求額（税抜き）</t>
        </is>
      </c>
      <c r="C1" s="6" t="inlineStr">
        <is>
          <t>消費税額</t>
        </is>
      </c>
      <c r="D1" s="22" t="inlineStr">
        <is>
          <t>請求額（税込み）</t>
        </is>
      </c>
      <c r="E1" s="22" t="inlineStr">
        <is>
          <t>源泉徴収額</t>
        </is>
      </c>
      <c r="F1" s="5" t="inlineStr">
        <is>
          <t>振込額</t>
        </is>
      </c>
      <c r="G1" s="6" t="inlineStr">
        <is>
          <t>銀行通帳の振込額</t>
        </is>
      </c>
    </row>
    <row r="2">
      <c r="A2" s="20" t="n">
        <v>46053</v>
      </c>
      <c r="B2" s="6">
        <f>井坂事務所!B2+岡崎事務所!B2+綾測!B2</f>
        <v/>
      </c>
      <c r="C2" s="6">
        <f>井坂事務所!C2+岡崎事務所!C2+綾測!C2</f>
        <v/>
      </c>
      <c r="D2" s="22">
        <f>井坂事務所!D2+岡崎事務所!D2+綾測!D2</f>
        <v/>
      </c>
      <c r="E2" s="22">
        <f>井坂事務所!E2+岡崎事務所!E2+綾測!E2</f>
        <v/>
      </c>
      <c r="F2" s="6">
        <f>井坂事務所!F2+岡崎事務所!F2+綾測!F2</f>
        <v/>
      </c>
      <c r="G2" s="6">
        <f>井坂事務所!G2+岡崎事務所!G2+綾測!G2</f>
        <v/>
      </c>
    </row>
    <row r="3">
      <c r="A3" s="8" t="n">
        <v>46081</v>
      </c>
      <c r="B3" s="6">
        <f>井坂事務所!B3+岡崎事務所!B3+綾測!B3</f>
        <v/>
      </c>
      <c r="C3" s="6">
        <f>井坂事務所!C3+岡崎事務所!C3+綾測!C3</f>
        <v/>
      </c>
      <c r="D3" s="22">
        <f>井坂事務所!D3+岡崎事務所!D3+綾測!D3</f>
        <v/>
      </c>
      <c r="E3" s="22">
        <f>井坂事務所!E3+岡崎事務所!E3+綾測!E3</f>
        <v/>
      </c>
      <c r="F3" s="6">
        <f>井坂事務所!F3+岡崎事務所!F3+綾測!F3</f>
        <v/>
      </c>
      <c r="G3" s="6">
        <f>井坂事務所!G3+岡崎事務所!G3+綾測!G3</f>
        <v/>
      </c>
    </row>
    <row r="4">
      <c r="A4" s="20" t="n">
        <v>46112</v>
      </c>
      <c r="B4" s="6">
        <f>井坂事務所!B4+岡崎事務所!B4+綾測!B4</f>
        <v/>
      </c>
      <c r="C4" s="6">
        <f>井坂事務所!C4+岡崎事務所!C4+綾測!C4</f>
        <v/>
      </c>
      <c r="D4" s="22">
        <f>井坂事務所!D4+岡崎事務所!D4+綾測!D4</f>
        <v/>
      </c>
      <c r="E4" s="22">
        <f>井坂事務所!E4+岡崎事務所!E4+綾測!E4</f>
        <v/>
      </c>
      <c r="F4" s="6">
        <f>井坂事務所!F4+岡崎事務所!F4+綾測!F4</f>
        <v/>
      </c>
      <c r="G4" s="6">
        <f>井坂事務所!G4+岡崎事務所!G4+綾測!G4</f>
        <v/>
      </c>
    </row>
    <row r="5">
      <c r="A5" s="8" t="n">
        <v>46142</v>
      </c>
      <c r="B5" s="6">
        <f>井坂事務所!B5+岡崎事務所!B5+綾測!B5</f>
        <v/>
      </c>
      <c r="C5" s="6">
        <f>井坂事務所!C5+岡崎事務所!C5+綾測!C5</f>
        <v/>
      </c>
      <c r="D5" s="22">
        <f>井坂事務所!D5+岡崎事務所!D5+綾測!D5</f>
        <v/>
      </c>
      <c r="E5" s="22">
        <f>井坂事務所!E5+岡崎事務所!E5+綾測!E5</f>
        <v/>
      </c>
      <c r="F5" s="6">
        <f>井坂事務所!F5+岡崎事務所!F5+綾測!F5</f>
        <v/>
      </c>
      <c r="G5" s="6">
        <f>井坂事務所!G5+岡崎事務所!G5+綾測!G5</f>
        <v/>
      </c>
    </row>
    <row r="6">
      <c r="A6" s="20" t="n">
        <v>46173</v>
      </c>
      <c r="B6" s="6">
        <f>井坂事務所!B6+岡崎事務所!B6+綾測!B6</f>
        <v/>
      </c>
      <c r="C6" s="6">
        <f>井坂事務所!C6+岡崎事務所!C6+綾測!C6</f>
        <v/>
      </c>
      <c r="D6" s="22">
        <f>井坂事務所!D6+岡崎事務所!D6+綾測!D6</f>
        <v/>
      </c>
      <c r="E6" s="22">
        <f>井坂事務所!E6+岡崎事務所!E6+綾測!E6</f>
        <v/>
      </c>
      <c r="F6" s="6">
        <f>井坂事務所!F6+岡崎事務所!F6+綾測!F6</f>
        <v/>
      </c>
      <c r="G6" s="6">
        <f>井坂事務所!G6+岡崎事務所!G6+綾測!G6</f>
        <v/>
      </c>
    </row>
    <row r="7">
      <c r="A7" s="8" t="n">
        <v>46203</v>
      </c>
      <c r="B7" s="6">
        <f>井坂事務所!B7+岡崎事務所!B7+綾測!B7</f>
        <v/>
      </c>
      <c r="C7" s="6">
        <f>井坂事務所!C7+岡崎事務所!C7+綾測!C7</f>
        <v/>
      </c>
      <c r="D7" s="22">
        <f>井坂事務所!D7+岡崎事務所!D7+綾測!D7</f>
        <v/>
      </c>
      <c r="E7" s="22">
        <f>井坂事務所!E7+岡崎事務所!E7+綾測!E7</f>
        <v/>
      </c>
      <c r="F7" s="6">
        <f>井坂事務所!F7+岡崎事務所!F7+綾測!F7</f>
        <v/>
      </c>
      <c r="G7" s="6">
        <f>井坂事務所!G7+岡崎事務所!G7+綾測!G7</f>
        <v/>
      </c>
    </row>
    <row r="8">
      <c r="A8" s="20" t="n">
        <v>46234</v>
      </c>
      <c r="B8" s="6">
        <f>井坂事務所!B8+岡崎事務所!B8+綾測!B8</f>
        <v/>
      </c>
      <c r="C8" s="6">
        <f>井坂事務所!C8+岡崎事務所!C8+綾測!C8</f>
        <v/>
      </c>
      <c r="D8" s="22">
        <f>井坂事務所!D8+岡崎事務所!D8+綾測!D8</f>
        <v/>
      </c>
      <c r="E8" s="22">
        <f>井坂事務所!E8+岡崎事務所!E8+綾測!E8</f>
        <v/>
      </c>
      <c r="F8" s="6">
        <f>井坂事務所!F8+岡崎事務所!F8+綾測!F8</f>
        <v/>
      </c>
      <c r="G8" s="6">
        <f>井坂事務所!G8+岡崎事務所!G8+綾測!G8</f>
        <v/>
      </c>
      <c r="I8" s="0">
        <f>4802864-682674</f>
        <v/>
      </c>
    </row>
    <row r="9">
      <c r="A9" s="8" t="n">
        <v>46265</v>
      </c>
      <c r="B9" s="6">
        <f>井坂事務所!B9+岡崎事務所!B9+綾測!B9</f>
        <v/>
      </c>
      <c r="C9" s="6">
        <f>井坂事務所!C9+岡崎事務所!C9+綾測!C9</f>
        <v/>
      </c>
      <c r="D9" s="22">
        <f>井坂事務所!D9+岡崎事務所!D9+綾測!D9</f>
        <v/>
      </c>
      <c r="E9" s="22">
        <f>井坂事務所!E9+岡崎事務所!E9+綾測!E9</f>
        <v/>
      </c>
      <c r="F9" s="6">
        <f>井坂事務所!F9+岡崎事務所!F9+綾測!F9</f>
        <v/>
      </c>
      <c r="G9" s="6">
        <f>井坂事務所!G9+岡崎事務所!G9+綾測!G9</f>
        <v/>
      </c>
    </row>
    <row r="10">
      <c r="A10" s="2" t="n">
        <v>46295</v>
      </c>
      <c r="B10" s="6">
        <f>井坂事務所!B10+岡崎事務所!B10+綾測!B10</f>
        <v/>
      </c>
      <c r="C10" s="6">
        <f>井坂事務所!C10+岡崎事務所!C10+綾測!C10</f>
        <v/>
      </c>
      <c r="D10" s="22">
        <f>井坂事務所!D10+岡崎事務所!D10+綾測!D10</f>
        <v/>
      </c>
      <c r="E10" s="22">
        <f>井坂事務所!E10+岡崎事務所!E10+綾測!E10</f>
        <v/>
      </c>
      <c r="F10" s="6">
        <f>井坂事務所!F10+岡崎事務所!F10+綾測!F10</f>
        <v/>
      </c>
      <c r="G10" s="6">
        <f>井坂事務所!G10+岡崎事務所!G10+綾測!G10</f>
        <v/>
      </c>
    </row>
    <row r="11">
      <c r="A11" s="1" t="n">
        <v>46326</v>
      </c>
      <c r="B11" s="6">
        <f>井坂事務所!B11+岡崎事務所!B11+綾測!B11</f>
        <v/>
      </c>
      <c r="C11" s="6">
        <f>井坂事務所!C11+岡崎事務所!C11+綾測!C11</f>
        <v/>
      </c>
      <c r="D11" s="22">
        <f>井坂事務所!D11+岡崎事務所!D11+綾測!D11</f>
        <v/>
      </c>
      <c r="E11" s="22">
        <f>井坂事務所!E11+岡崎事務所!E11+綾測!E11</f>
        <v/>
      </c>
      <c r="F11" s="6">
        <f>井坂事務所!F11+岡崎事務所!F11+綾測!F11</f>
        <v/>
      </c>
      <c r="G11" s="6">
        <f>井坂事務所!G11+岡崎事務所!G11+綾測!G11</f>
        <v/>
      </c>
    </row>
    <row r="12">
      <c r="A12" s="2" t="n">
        <v>46356</v>
      </c>
      <c r="B12" s="6">
        <f>井坂事務所!B12+岡崎事務所!B12+綾測!B12</f>
        <v/>
      </c>
      <c r="C12" s="6">
        <f>井坂事務所!C12+岡崎事務所!C12+綾測!C12</f>
        <v/>
      </c>
      <c r="D12" s="22">
        <f>井坂事務所!D12+岡崎事務所!D12+綾測!D12</f>
        <v/>
      </c>
      <c r="E12" s="22">
        <f>井坂事務所!E12+岡崎事務所!E12+綾測!E12</f>
        <v/>
      </c>
      <c r="F12" s="6">
        <f>井坂事務所!F12+岡崎事務所!F12+綾測!F12</f>
        <v/>
      </c>
      <c r="G12" s="6">
        <f>井坂事務所!G12+岡崎事務所!G12+綾測!G12</f>
        <v/>
      </c>
    </row>
    <row r="13">
      <c r="A13" s="2" t="n">
        <v>46387</v>
      </c>
      <c r="B13" s="6">
        <f>井坂事務所!B13+岡崎事務所!B13+綾測!B13</f>
        <v/>
      </c>
      <c r="C13" s="6">
        <f>井坂事務所!C13+岡崎事務所!C13+綾測!C13</f>
        <v/>
      </c>
      <c r="D13" s="22">
        <f>井坂事務所!D13+岡崎事務所!D13+綾測!D13</f>
        <v/>
      </c>
      <c r="E13" s="22">
        <f>井坂事務所!E13+岡崎事務所!E13+綾測!E13</f>
        <v/>
      </c>
      <c r="F13" s="6">
        <f>井坂事務所!F13+岡崎事務所!F13+綾測!F13</f>
        <v/>
      </c>
      <c r="G13" s="6">
        <f>井坂事務所!G13+岡崎事務所!G13+綾測!G13</f>
        <v/>
      </c>
    </row>
    <row r="14">
      <c r="A14" s="1" t="n">
        <v>46418</v>
      </c>
      <c r="B14" s="6">
        <f>井坂事務所!B14+岡崎事務所!B14+綾測!B14</f>
        <v/>
      </c>
      <c r="C14" s="6">
        <f>井坂事務所!C14+岡崎事務所!C14+綾測!C14</f>
        <v/>
      </c>
      <c r="D14" s="22">
        <f>井坂事務所!D14+岡崎事務所!D14+綾測!D14</f>
        <v/>
      </c>
      <c r="E14" s="22">
        <f>井坂事務所!E14+岡崎事務所!E14+綾測!E14</f>
        <v/>
      </c>
      <c r="F14" s="6">
        <f>井坂事務所!F14+岡崎事務所!F14+綾測!F14</f>
        <v/>
      </c>
      <c r="G14" s="6">
        <f>井坂事務所!G14+岡崎事務所!G14+綾測!G14</f>
        <v/>
      </c>
    </row>
    <row r="15">
      <c r="A15" s="2" t="n">
        <v>46446</v>
      </c>
      <c r="B15" s="6">
        <f>井坂事務所!B15+岡崎事務所!B15+綾測!B15</f>
        <v/>
      </c>
      <c r="C15" s="6">
        <f>井坂事務所!C15+岡崎事務所!C15+綾測!C15</f>
        <v/>
      </c>
      <c r="D15" s="22">
        <f>井坂事務所!D15+岡崎事務所!D15+綾測!D15</f>
        <v/>
      </c>
      <c r="E15" s="22">
        <f>井坂事務所!E15+岡崎事務所!E15+綾測!E15</f>
        <v/>
      </c>
      <c r="F15" s="6">
        <f>井坂事務所!F15+岡崎事務所!F15+綾測!F15</f>
        <v/>
      </c>
      <c r="G15" s="6">
        <f>井坂事務所!G15+岡崎事務所!G15+綾測!G15</f>
        <v/>
      </c>
    </row>
    <row r="16">
      <c r="A16" s="2" t="n">
        <v>46477</v>
      </c>
      <c r="B16" s="6">
        <f>井坂事務所!B16+岡崎事務所!B16+綾測!B16</f>
        <v/>
      </c>
      <c r="C16" s="6">
        <f>井坂事務所!C16+岡崎事務所!C16+綾測!C16</f>
        <v/>
      </c>
      <c r="D16" s="22">
        <f>井坂事務所!D16+岡崎事務所!D16+綾測!D16</f>
        <v/>
      </c>
      <c r="E16" s="22">
        <f>井坂事務所!E16+岡崎事務所!E16+綾測!E16</f>
        <v/>
      </c>
      <c r="F16" s="6">
        <f>井坂事務所!F16+岡崎事務所!F16+綾測!F16</f>
        <v/>
      </c>
      <c r="G16" s="6">
        <f>井坂事務所!G16+岡崎事務所!G16+綾測!G16</f>
        <v/>
      </c>
    </row>
    <row r="17">
      <c r="A17" s="1" t="n">
        <v>46507</v>
      </c>
      <c r="B17" s="6">
        <f>井坂事務所!B17+岡崎事務所!B17+綾測!B17</f>
        <v/>
      </c>
      <c r="C17" s="6">
        <f>井坂事務所!C17+岡崎事務所!C17+綾測!C17</f>
        <v/>
      </c>
      <c r="D17" s="22">
        <f>井坂事務所!D17+岡崎事務所!D17+綾測!D17</f>
        <v/>
      </c>
      <c r="E17" s="22">
        <f>井坂事務所!E17+岡崎事務所!E17+綾測!E17</f>
        <v/>
      </c>
      <c r="F17" s="6">
        <f>井坂事務所!F17+岡崎事務所!F17+綾測!F17</f>
        <v/>
      </c>
      <c r="G17" s="6">
        <f>井坂事務所!G17+岡崎事務所!G17+綾測!G17</f>
        <v/>
      </c>
    </row>
    <row r="18">
      <c r="A18" s="2" t="n">
        <v>46538</v>
      </c>
      <c r="B18" s="6">
        <f>井坂事務所!B18+岡崎事務所!B18+綾測!B18</f>
        <v/>
      </c>
      <c r="C18" s="6">
        <f>井坂事務所!C18+岡崎事務所!C18+綾測!C18</f>
        <v/>
      </c>
      <c r="D18" s="22">
        <f>井坂事務所!D18+岡崎事務所!D18+綾測!D18</f>
        <v/>
      </c>
      <c r="E18" s="22">
        <f>井坂事務所!E18+岡崎事務所!E18+綾測!E18</f>
        <v/>
      </c>
      <c r="F18" s="6">
        <f>井坂事務所!F18+岡崎事務所!F18+綾測!F18</f>
        <v/>
      </c>
      <c r="G18" s="6">
        <f>井坂事務所!G18+岡崎事務所!G18+綾測!G18</f>
        <v/>
      </c>
    </row>
    <row r="19">
      <c r="A19" s="1" t="n">
        <v>46568</v>
      </c>
      <c r="B19" s="6">
        <f>井坂事務所!B19+岡崎事務所!B19+綾測!B19</f>
        <v/>
      </c>
      <c r="C19" s="6">
        <f>井坂事務所!C19+岡崎事務所!C19+綾測!C19</f>
        <v/>
      </c>
      <c r="D19" s="22">
        <f>井坂事務所!D19+岡崎事務所!D19+綾測!D19</f>
        <v/>
      </c>
      <c r="E19" s="22">
        <f>井坂事務所!E19+岡崎事務所!E19+綾測!E19</f>
        <v/>
      </c>
      <c r="F19" s="6">
        <f>井坂事務所!F19+岡崎事務所!F19+綾測!F19</f>
        <v/>
      </c>
      <c r="G19" s="6">
        <f>井坂事務所!G19+岡崎事務所!G19+綾測!G19</f>
        <v/>
      </c>
    </row>
    <row r="20">
      <c r="A20" s="2" t="n">
        <v>46599</v>
      </c>
      <c r="B20" s="6">
        <f>井坂事務所!B20+岡崎事務所!B20+綾測!B20</f>
        <v/>
      </c>
      <c r="C20" s="6">
        <f>井坂事務所!C20+岡崎事務所!C20+綾測!C20</f>
        <v/>
      </c>
      <c r="D20" s="22">
        <f>井坂事務所!D20+岡崎事務所!D20+綾測!D20</f>
        <v/>
      </c>
      <c r="E20" s="22">
        <f>井坂事務所!E20+岡崎事務所!E20+綾測!E20</f>
        <v/>
      </c>
      <c r="F20" s="6">
        <f>井坂事務所!F20+岡崎事務所!F20+綾測!F20</f>
        <v/>
      </c>
      <c r="G20" s="6">
        <f>井坂事務所!G20+岡崎事務所!G20+綾測!G20</f>
        <v/>
      </c>
    </row>
    <row r="21">
      <c r="A21" s="1" t="n">
        <v>46630</v>
      </c>
      <c r="B21" s="6">
        <f>井坂事務所!B21+岡崎事務所!B21+綾測!B21</f>
        <v/>
      </c>
      <c r="C21" s="6">
        <f>井坂事務所!C21+岡崎事務所!C21+綾測!C21</f>
        <v/>
      </c>
      <c r="D21" s="22">
        <f>井坂事務所!D21+岡崎事務所!D21+綾測!D21</f>
        <v/>
      </c>
      <c r="E21" s="22">
        <f>井坂事務所!E21+岡崎事務所!E21+綾測!E21</f>
        <v/>
      </c>
      <c r="F21" s="6">
        <f>井坂事務所!F21+岡崎事務所!F21+綾測!F21</f>
        <v/>
      </c>
      <c r="G21" s="6">
        <f>井坂事務所!G21+岡崎事務所!G21+綾測!G21</f>
        <v/>
      </c>
    </row>
    <row r="22">
      <c r="A22" s="2" t="n">
        <v>46660</v>
      </c>
      <c r="B22" s="6">
        <f>井坂事務所!B22+岡崎事務所!B22+綾測!B22</f>
        <v/>
      </c>
      <c r="C22" s="6">
        <f>井坂事務所!C22+岡崎事務所!C22+綾測!C22</f>
        <v/>
      </c>
      <c r="D22" s="22">
        <f>井坂事務所!D22+岡崎事務所!D22+綾測!D22</f>
        <v/>
      </c>
      <c r="E22" s="22">
        <f>井坂事務所!E22+岡崎事務所!E22+綾測!E22</f>
        <v/>
      </c>
      <c r="F22" s="6">
        <f>井坂事務所!F22+岡崎事務所!F22+綾測!F22</f>
        <v/>
      </c>
      <c r="G22" s="6">
        <f>井坂事務所!G22+岡崎事務所!G22+綾測!G22</f>
        <v/>
      </c>
    </row>
    <row r="23">
      <c r="A23" s="1" t="n">
        <v>46691</v>
      </c>
      <c r="B23" s="6">
        <f>井坂事務所!B23+岡崎事務所!B23+綾測!B23</f>
        <v/>
      </c>
      <c r="C23" s="6">
        <f>井坂事務所!C23+岡崎事務所!C23+綾測!C23</f>
        <v/>
      </c>
      <c r="D23" s="22">
        <f>井坂事務所!D23+岡崎事務所!D23+綾測!D23</f>
        <v/>
      </c>
      <c r="E23" s="22">
        <f>井坂事務所!E23+岡崎事務所!E23+綾測!E23</f>
        <v/>
      </c>
      <c r="F23" s="6">
        <f>井坂事務所!F23+岡崎事務所!F23+綾測!F23</f>
        <v/>
      </c>
      <c r="G23" s="6">
        <f>井坂事務所!G23+岡崎事務所!G23+綾測!G23</f>
        <v/>
      </c>
    </row>
    <row r="24">
      <c r="A24" s="2" t="n">
        <v>46721</v>
      </c>
      <c r="B24" s="6">
        <f>井坂事務所!B24+岡崎事務所!B24+綾測!B24</f>
        <v/>
      </c>
      <c r="C24" s="6">
        <f>井坂事務所!C24+岡崎事務所!C24+綾測!C24</f>
        <v/>
      </c>
      <c r="D24" s="22">
        <f>井坂事務所!D24+岡崎事務所!D24+綾測!D24</f>
        <v/>
      </c>
      <c r="E24" s="22">
        <f>井坂事務所!E24+岡崎事務所!E24+綾測!E24</f>
        <v/>
      </c>
      <c r="F24" s="6">
        <f>井坂事務所!F24+岡崎事務所!F24+綾測!F24</f>
        <v/>
      </c>
      <c r="G24" s="6">
        <f>井坂事務所!G24+岡崎事務所!G24+綾測!G24</f>
        <v/>
      </c>
    </row>
    <row r="25">
      <c r="A25" s="1" t="n">
        <v>46752</v>
      </c>
      <c r="B25" s="6">
        <f>井坂事務所!B25+岡崎事務所!B25+綾測!B25</f>
        <v/>
      </c>
      <c r="C25" s="6">
        <f>井坂事務所!C25+岡崎事務所!C25+綾測!C25</f>
        <v/>
      </c>
      <c r="D25" s="22">
        <f>井坂事務所!D25+岡崎事務所!D25+綾測!D25</f>
        <v/>
      </c>
      <c r="E25" s="22">
        <f>井坂事務所!E25+岡崎事務所!E25+綾測!E25</f>
        <v/>
      </c>
      <c r="F25" s="6">
        <f>井坂事務所!F25+岡崎事務所!F25+綾測!F25</f>
        <v/>
      </c>
      <c r="G25" s="6">
        <f>井坂事務所!G25+岡崎事務所!G25+綾測!G25</f>
        <v/>
      </c>
    </row>
    <row r="26">
      <c r="A26" s="2" t="n">
        <v>46783</v>
      </c>
      <c r="B26" s="6">
        <f>井坂事務所!B26+岡崎事務所!B26+綾測!B26</f>
        <v/>
      </c>
      <c r="C26" s="6">
        <f>井坂事務所!C26+岡崎事務所!C26+綾測!C26</f>
        <v/>
      </c>
      <c r="D26" s="22">
        <f>井坂事務所!D26+岡崎事務所!D26+綾測!D26</f>
        <v/>
      </c>
      <c r="E26" s="22">
        <f>井坂事務所!E26+岡崎事務所!E26+綾測!E26</f>
        <v/>
      </c>
      <c r="F26" s="6">
        <f>井坂事務所!F26+岡崎事務所!F26+綾測!F26</f>
        <v/>
      </c>
      <c r="G26" s="6">
        <f>井坂事務所!G26+岡崎事務所!G26+綾測!G26</f>
        <v/>
      </c>
    </row>
    <row r="27">
      <c r="A27" s="1" t="n">
        <v>46812</v>
      </c>
      <c r="B27" s="6">
        <f>井坂事務所!B27+岡崎事務所!B27+綾測!B27</f>
        <v/>
      </c>
      <c r="C27" s="6">
        <f>井坂事務所!C27+岡崎事務所!C27+綾測!C27</f>
        <v/>
      </c>
      <c r="D27" s="22">
        <f>井坂事務所!D27+岡崎事務所!D27+綾測!D27</f>
        <v/>
      </c>
      <c r="E27" s="22">
        <f>井坂事務所!E27+岡崎事務所!E27+綾測!E27</f>
        <v/>
      </c>
      <c r="F27" s="6">
        <f>井坂事務所!F27+岡崎事務所!F27+綾測!F27</f>
        <v/>
      </c>
      <c r="G27" s="6">
        <f>井坂事務所!G27+岡崎事務所!G27+綾測!G27</f>
        <v/>
      </c>
    </row>
    <row r="28">
      <c r="A28" s="2" t="n">
        <v>46843</v>
      </c>
      <c r="B28" s="6">
        <f>井坂事務所!B28+岡崎事務所!B28+綾測!B28</f>
        <v/>
      </c>
      <c r="C28" s="6">
        <f>井坂事務所!C28+岡崎事務所!C28+綾測!C28</f>
        <v/>
      </c>
      <c r="D28" s="22">
        <f>井坂事務所!D28+岡崎事務所!D28+綾測!D28</f>
        <v/>
      </c>
      <c r="E28" s="22">
        <f>井坂事務所!E28+岡崎事務所!E28+綾測!E28</f>
        <v/>
      </c>
      <c r="F28" s="6">
        <f>井坂事務所!F28+岡崎事務所!F28+綾測!F28</f>
        <v/>
      </c>
      <c r="G28" s="6">
        <f>井坂事務所!G28+岡崎事務所!G28+綾測!G28</f>
        <v/>
      </c>
    </row>
    <row r="29">
      <c r="A29" s="1" t="n">
        <v>46873</v>
      </c>
      <c r="B29" s="6">
        <f>井坂事務所!B29+岡崎事務所!B29+綾測!B29</f>
        <v/>
      </c>
      <c r="C29" s="6">
        <f>井坂事務所!C29+岡崎事務所!C29+綾測!C29</f>
        <v/>
      </c>
      <c r="D29" s="22">
        <f>井坂事務所!D29+岡崎事務所!D29+綾測!D29</f>
        <v/>
      </c>
      <c r="E29" s="22">
        <f>井坂事務所!E29+岡崎事務所!E29+綾測!E29</f>
        <v/>
      </c>
      <c r="F29" s="6">
        <f>井坂事務所!F29+岡崎事務所!F29+綾測!F29</f>
        <v/>
      </c>
      <c r="G29" s="6">
        <f>井坂事務所!G29+岡崎事務所!G29+綾測!G29</f>
        <v/>
      </c>
    </row>
    <row r="30">
      <c r="A30" s="2" t="n">
        <v>46904</v>
      </c>
      <c r="B30" s="6">
        <f>井坂事務所!B30+岡崎事務所!B30+綾測!B30</f>
        <v/>
      </c>
      <c r="C30" s="6">
        <f>井坂事務所!C30+岡崎事務所!C30+綾測!C30</f>
        <v/>
      </c>
      <c r="D30" s="22">
        <f>井坂事務所!D30+岡崎事務所!D30+綾測!D30</f>
        <v/>
      </c>
      <c r="E30" s="22">
        <f>井坂事務所!E30+岡崎事務所!E30+綾測!E30</f>
        <v/>
      </c>
      <c r="F30" s="6">
        <f>井坂事務所!F30+岡崎事務所!F30+綾測!F30</f>
        <v/>
      </c>
      <c r="G30" s="6">
        <f>井坂事務所!G30+岡崎事務所!G30+綾測!G30</f>
        <v/>
      </c>
    </row>
    <row r="31">
      <c r="A31" s="1" t="n">
        <v>46934</v>
      </c>
      <c r="B31" s="6">
        <f>井坂事務所!B31+岡崎事務所!B31+綾測!B31</f>
        <v/>
      </c>
      <c r="C31" s="6">
        <f>井坂事務所!C31+岡崎事務所!C31+綾測!C31</f>
        <v/>
      </c>
      <c r="D31" s="22">
        <f>井坂事務所!D31+岡崎事務所!D31+綾測!D31</f>
        <v/>
      </c>
      <c r="E31" s="22">
        <f>井坂事務所!E31+岡崎事務所!E31+綾測!E31</f>
        <v/>
      </c>
      <c r="F31" s="6">
        <f>井坂事務所!F31+岡崎事務所!F31+綾測!F31</f>
        <v/>
      </c>
      <c r="G31" s="6">
        <f>井坂事務所!G31+岡崎事務所!G31+綾測!G31</f>
        <v/>
      </c>
    </row>
    <row r="32">
      <c r="A32" s="2" t="n">
        <v>46965</v>
      </c>
      <c r="B32" s="6">
        <f>井坂事務所!B32+岡崎事務所!B32+綾測!B32</f>
        <v/>
      </c>
      <c r="C32" s="6">
        <f>井坂事務所!C32+岡崎事務所!C32+綾測!C32</f>
        <v/>
      </c>
      <c r="D32" s="22">
        <f>井坂事務所!D32+岡崎事務所!D32+綾測!D32</f>
        <v/>
      </c>
      <c r="E32" s="22">
        <f>井坂事務所!E32+岡崎事務所!E32+綾測!E32</f>
        <v/>
      </c>
      <c r="F32" s="6">
        <f>井坂事務所!F32+岡崎事務所!F32+綾測!F32</f>
        <v/>
      </c>
      <c r="G32" s="6">
        <f>井坂事務所!G32+岡崎事務所!G32+綾測!G32</f>
        <v/>
      </c>
    </row>
    <row r="33">
      <c r="A33" s="1" t="n">
        <v>46996</v>
      </c>
      <c r="B33" s="6">
        <f>井坂事務所!B33+岡崎事務所!B33+綾測!B33</f>
        <v/>
      </c>
      <c r="C33" s="6">
        <f>井坂事務所!C33+岡崎事務所!C33+綾測!C33</f>
        <v/>
      </c>
      <c r="D33" s="22">
        <f>井坂事務所!D33+岡崎事務所!D33+綾測!D33</f>
        <v/>
      </c>
      <c r="E33" s="22">
        <f>井坂事務所!E33+岡崎事務所!E33+綾測!E33</f>
        <v/>
      </c>
      <c r="F33" s="6">
        <f>井坂事務所!F33+岡崎事務所!F33+綾測!F33</f>
        <v/>
      </c>
      <c r="G33" s="6">
        <f>井坂事務所!G33+岡崎事務所!G33+綾測!G33</f>
        <v/>
      </c>
    </row>
    <row r="34">
      <c r="A34" s="1" t="n">
        <v>47026</v>
      </c>
      <c r="B34" s="6">
        <f>井坂事務所!B34+岡崎事務所!B34+綾測!B34</f>
        <v/>
      </c>
      <c r="C34" s="6">
        <f>井坂事務所!C34+岡崎事務所!C34+綾測!C34</f>
        <v/>
      </c>
      <c r="D34" s="22">
        <f>井坂事務所!D34+岡崎事務所!D34+綾測!D34</f>
        <v/>
      </c>
      <c r="E34" s="22">
        <f>井坂事務所!E34+岡崎事務所!E34+綾測!E34</f>
        <v/>
      </c>
      <c r="F34" s="6">
        <f>井坂事務所!F34+岡崎事務所!F34+綾測!F34</f>
        <v/>
      </c>
      <c r="G34" s="6">
        <f>井坂事務所!G34+岡崎事務所!G34+綾測!G34</f>
        <v/>
      </c>
    </row>
    <row r="35">
      <c r="A35" s="2" t="n">
        <v>47057</v>
      </c>
      <c r="B35" s="6">
        <f>井坂事務所!B35+岡崎事務所!B35+綾測!B35</f>
        <v/>
      </c>
      <c r="C35" s="6">
        <f>井坂事務所!C35+岡崎事務所!C35+綾測!C35</f>
        <v/>
      </c>
      <c r="D35" s="22">
        <f>井坂事務所!D35+岡崎事務所!D35+綾測!D35</f>
        <v/>
      </c>
      <c r="E35" s="22">
        <f>井坂事務所!E35+岡崎事務所!E35+綾測!E35</f>
        <v/>
      </c>
      <c r="F35" s="6">
        <f>井坂事務所!F35+岡崎事務所!F35+綾測!F35</f>
        <v/>
      </c>
      <c r="G35" s="6">
        <f>井坂事務所!G35+岡崎事務所!G35+綾測!G35</f>
        <v/>
      </c>
    </row>
    <row r="36">
      <c r="A36" s="1" t="n">
        <v>47087</v>
      </c>
      <c r="B36" s="6">
        <f>井坂事務所!B36+岡崎事務所!B36+綾測!B36</f>
        <v/>
      </c>
      <c r="C36" s="6">
        <f>井坂事務所!C36+岡崎事務所!C36+綾測!C36</f>
        <v/>
      </c>
      <c r="D36" s="22">
        <f>井坂事務所!D36+岡崎事務所!D36+綾測!D36</f>
        <v/>
      </c>
      <c r="E36" s="22">
        <f>井坂事務所!E36+岡崎事務所!E36+綾測!E36</f>
        <v/>
      </c>
      <c r="F36" s="6">
        <f>井坂事務所!F36+岡崎事務所!F36+綾測!F36</f>
        <v/>
      </c>
      <c r="G36" s="6">
        <f>井坂事務所!G36+岡崎事務所!G36+綾測!G36</f>
        <v/>
      </c>
    </row>
    <row r="37">
      <c r="A37" s="2" t="n">
        <v>47118</v>
      </c>
      <c r="B37" s="6">
        <f>井坂事務所!B37+岡崎事務所!B37+綾測!B37</f>
        <v/>
      </c>
      <c r="C37" s="6">
        <f>井坂事務所!C37+岡崎事務所!C37+綾測!C37</f>
        <v/>
      </c>
      <c r="D37" s="22">
        <f>井坂事務所!D37+岡崎事務所!D37+綾測!D37</f>
        <v/>
      </c>
      <c r="E37" s="22">
        <f>井坂事務所!E37+岡崎事務所!E37+綾測!E37</f>
        <v/>
      </c>
      <c r="F37" s="6">
        <f>井坂事務所!F37+岡崎事務所!F37+綾測!F37</f>
        <v/>
      </c>
      <c r="G37" s="6">
        <f>井坂事務所!G37+岡崎事務所!G37+綾測!G37</f>
        <v/>
      </c>
    </row>
    <row r="38">
      <c r="A38" s="1" t="n"/>
      <c r="C38" s="9" t="n"/>
      <c r="F38" s="4" t="n"/>
    </row>
    <row r="39">
      <c r="A39" s="2" t="n"/>
      <c r="B39" s="7" t="n"/>
      <c r="C39" s="9" t="n"/>
      <c r="F39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001 UrbanPC</dc:creator>
  <dcterms:created xsi:type="dcterms:W3CDTF">2026-08-21T03:16:11Z</dcterms:created>
  <dcterms:modified xsi:type="dcterms:W3CDTF">2026-09-11T13:36:47Z</dcterms:modified>
  <cp:lastModifiedBy>001 UrbanPC</cp:lastModifiedBy>
</cp:coreProperties>
</file>